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ício" sheetId="1" state="visible" r:id="rId1"/>
    <sheet xmlns:r="http://schemas.openxmlformats.org/officeDocument/2006/relationships" name="Titular" sheetId="2" state="visible" r:id="rId2"/>
    <sheet xmlns:r="http://schemas.openxmlformats.org/officeDocument/2006/relationships" name="Dependentes" sheetId="3" state="visible" r:id="rId3"/>
    <sheet xmlns:r="http://schemas.openxmlformats.org/officeDocument/2006/relationships" name="Rendimentos" sheetId="4" state="visible" r:id="rId4"/>
    <sheet xmlns:r="http://schemas.openxmlformats.org/officeDocument/2006/relationships" name="Bens" sheetId="5" state="visible" r:id="rId5"/>
    <sheet xmlns:r="http://schemas.openxmlformats.org/officeDocument/2006/relationships" name="Pagamentos" sheetId="6" state="visible" r:id="rId6"/>
    <sheet xmlns:r="http://schemas.openxmlformats.org/officeDocument/2006/relationships" name="Informes" sheetId="7" state="visible" r:id="rId7"/>
    <sheet xmlns:r="http://schemas.openxmlformats.org/officeDocument/2006/relationships" name="Notas" sheetId="8" state="visible" r:id="rId8"/>
    <sheet xmlns:r="http://schemas.openxmlformats.org/officeDocument/2006/relationships" name="Guia" sheetId="9" state="visible" r:id="rId9"/>
    <sheet xmlns:r="http://schemas.openxmlformats.org/officeDocument/2006/relationships" name="Apoio" sheetId="10" state="hidden" r:id="rId10"/>
  </sheets>
  <definedNames>
    <definedName name="lista_status_documento">'Apoio'!$A$4:$A$7</definedName>
    <definedName name="lista_categorias_rendimento">'Apoio'!$B$4:$B$11</definedName>
    <definedName name="lista_grupos_bens">'Apoio'!$C$4:$C$11</definedName>
    <definedName name="lista_categorias_pagamento">'Apoio'!$D$4:$D$11</definedName>
    <definedName name="lista_prioridades">'Apoio'!$E$4:$E$7</definedName>
    <definedName name="lista_status_nota">'Apoio'!$F$4:$F$6</definedName>
    <definedName name="lista_estados_civis">'Apoio'!$G$4:$G$9</definedName>
    <definedName name="lista_ufs">'Apoio'!$H$4:$H$30</definedName>
    <definedName name="lista_relacoes_dependente">'Apoio'!$I$4:$I$11</definedName>
    <definedName name="lista_sim_nao">'Apoio'!$J$4:$J$5</definedName>
    <definedName name="lista_titular_dependente">'Apoio'!$K$4:$K$5</definedName>
    <definedName name="lista_categorias_informe">'Apoio'!$L$4:$L$12</definedName>
    <definedName name="lista_tipos_declaracao">'Apoio'!$M$4:$M$5</definedName>
    <definedName name="lista_status_cadastro">'Apoio'!$N$4:$N$6</definedName>
    <definedName name="lista_categorias_nota">'Apoio'!$O$4:$O$11</definedName>
    <definedName name="lista_paises">'Apoio'!$P$4:$P$7</definedName>
    <definedName name="ano_calendario">'Início'!$C$6</definedName>
    <definedName name="exercicio_declaracao">'Início'!$G$6</definedName>
    <definedName name="nome_titular">'Titular'!$C$8</definedName>
    <definedName name="cpf_titular">'Titular'!$C$9</definedName>
    <definedName name="dados_rendimentos">'Rendimentos'!$A$9:$J$38</definedName>
    <definedName name="dados_bens">'Bens'!$A$9:$K$38</definedName>
    <definedName name="dados_pagamentos">'Pagamentos'!$A$9:$K$38</definedName>
    <definedName name="dados_informes">'Informes'!$A$9:$I$38</definedName>
    <definedName name="_xlnm.Print_Area" localSheetId="0">'Início'!$A$1:$L$51</definedName>
    <definedName name="_xlnm.Print_Area" localSheetId="1">'Titular'!$A$1:$I$29</definedName>
    <definedName name="_xlnm._FilterDatabase" localSheetId="2" hidden="1">'Dependentes'!$A$8:$H$38</definedName>
    <definedName name="_xlnm.Print_Titles" localSheetId="2">'Dependentes'!$1:$8</definedName>
    <definedName name="_xlnm.Print_Area" localSheetId="2">'Dependentes'!$A$1:$H$38</definedName>
    <definedName name="_xlnm._FilterDatabase" localSheetId="3" hidden="1">'Rendimentos'!$A$8:$J$38</definedName>
    <definedName name="_xlnm.Print_Titles" localSheetId="3">'Rendimentos'!$1:$8</definedName>
    <definedName name="_xlnm.Print_Area" localSheetId="3">'Rendimentos'!$A$1:$J$38</definedName>
    <definedName name="_xlnm._FilterDatabase" localSheetId="4" hidden="1">'Bens'!$A$8:$K$38</definedName>
    <definedName name="_xlnm.Print_Titles" localSheetId="4">'Bens'!$1:$8</definedName>
    <definedName name="_xlnm.Print_Area" localSheetId="4">'Bens'!$A$1:$K$38</definedName>
    <definedName name="_xlnm._FilterDatabase" localSheetId="5" hidden="1">'Pagamentos'!$A$8:$K$38</definedName>
    <definedName name="_xlnm.Print_Titles" localSheetId="5">'Pagamentos'!$1:$8</definedName>
    <definedName name="_xlnm.Print_Area" localSheetId="5">'Pagamentos'!$A$1:$K$38</definedName>
    <definedName name="_xlnm._FilterDatabase" localSheetId="6" hidden="1">'Informes'!$A$8:$I$38</definedName>
    <definedName name="_xlnm.Print_Titles" localSheetId="6">'Informes'!$1:$8</definedName>
    <definedName name="_xlnm.Print_Area" localSheetId="6">'Informes'!$A$1:$I$38</definedName>
    <definedName name="_xlnm._FilterDatabase" localSheetId="7" hidden="1">'Notas'!$A$8:$I$38</definedName>
    <definedName name="_xlnm.Print_Titles" localSheetId="7">'Notas'!$1:$8</definedName>
    <definedName name="_xlnm.Print_Area" localSheetId="7">'Notas'!$A$1:$I$38</definedName>
    <definedName name="_xlnm.Print_Area" localSheetId="8">'Guia'!$A$1:$C$43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3">
    <numFmt numFmtId="164" formatCode="R$ #,##0.00;[Red]-R$ #,##0.00"/>
    <numFmt numFmtId="165" formatCode="yyyy-mm-dd"/>
    <numFmt numFmtId="166" formatCode="dd/mm/yyyy"/>
  </numFmts>
  <fonts count="25">
    <font>
      <name val="Calibri"/>
      <family val="2"/>
      <color theme="1"/>
      <sz val="11"/>
      <scheme val="minor"/>
    </font>
    <font>
      <name val="Aptos Display"/>
      <b val="1"/>
      <color rgb="00FFFFFF"/>
      <sz val="20"/>
    </font>
    <font>
      <name val="Aptos"/>
      <b val="1"/>
      <color rgb="0038BDF8"/>
      <sz val="8"/>
    </font>
    <font>
      <name val="Aptos"/>
      <b val="1"/>
      <color rgb="00FFFFFF"/>
      <sz val="7.5"/>
    </font>
    <font>
      <name val="Aptos"/>
      <i val="1"/>
      <color rgb="0064748B"/>
      <sz val="9"/>
    </font>
    <font>
      <name val="Aptos"/>
      <b val="1"/>
      <color rgb="00FFFFFF"/>
      <sz val="10"/>
    </font>
    <font>
      <name val="Aptos"/>
      <b val="1"/>
      <color rgb="00FFFFFF"/>
      <sz val="9"/>
    </font>
    <font>
      <name val="Aptos"/>
      <b val="1"/>
      <color rgb="000284C7"/>
      <sz val="18"/>
    </font>
    <font>
      <name val="Aptos"/>
      <b val="1"/>
      <color rgb="0010B981"/>
      <sz val="18"/>
    </font>
    <font>
      <name val="Aptos"/>
      <b val="1"/>
      <color rgb="00172033"/>
      <sz val="11"/>
    </font>
    <font>
      <name val="Aptos"/>
      <b val="1"/>
      <color rgb="00FFFFFF"/>
      <sz val="8"/>
    </font>
    <font>
      <name val="Aptos"/>
      <b val="1"/>
      <color rgb="00F59E0B"/>
      <sz val="18"/>
    </font>
    <font>
      <name val="Aptos"/>
      <b val="1"/>
      <color rgb="0014B8A6"/>
      <sz val="18"/>
    </font>
    <font>
      <name val="Aptos"/>
      <b val="1"/>
      <color rgb="00EF4444"/>
      <sz val="18"/>
    </font>
    <font>
      <name val="Aptos"/>
      <b val="1"/>
      <color rgb="00334155"/>
      <sz val="18"/>
    </font>
    <font>
      <name val="Aptos"/>
      <b val="1"/>
      <color rgb="00172033"/>
      <sz val="10"/>
    </font>
    <font>
      <name val="Aptos"/>
      <b val="1"/>
      <color rgb="0064748B"/>
      <sz val="9"/>
    </font>
    <font>
      <name val="Aptos"/>
      <b val="1"/>
      <color rgb="000284C7"/>
      <sz val="10"/>
    </font>
    <font>
      <name val="Aptos"/>
      <b val="1"/>
      <color rgb="00172033"/>
      <sz val="9"/>
    </font>
    <font>
      <name val="Aptos"/>
      <color rgb="00172033"/>
      <sz val="10"/>
    </font>
    <font>
      <name val="Aptos"/>
      <color rgb="0064748B"/>
      <sz val="9"/>
    </font>
    <font>
      <name val="Aptos"/>
      <color rgb="00172033"/>
      <sz val="9"/>
    </font>
    <font>
      <name val="Aptos"/>
      <b val="1"/>
      <color rgb="0038BDF8"/>
      <sz val="10"/>
    </font>
    <font>
      <name val="Aptos Display"/>
      <b val="1"/>
      <color rgb="00FFFFFF"/>
      <sz val="16"/>
    </font>
    <font>
      <name val="Aptos"/>
      <color rgb="00172033"/>
      <sz val="8"/>
    </font>
  </fonts>
  <fills count="10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0284C7"/>
      </patternFill>
    </fill>
    <fill>
      <patternFill patternType="solid">
        <fgColor rgb="001E293B"/>
      </patternFill>
    </fill>
    <fill>
      <patternFill patternType="solid">
        <fgColor rgb="00F8FAFC"/>
      </patternFill>
    </fill>
    <fill>
      <patternFill patternType="solid">
        <fgColor rgb="00ECFEFF"/>
      </patternFill>
    </fill>
    <fill>
      <patternFill patternType="solid">
        <fgColor rgb="00E2E8F0"/>
      </patternFill>
    </fill>
    <fill>
      <patternFill patternType="solid">
        <fgColor rgb="00FEF3C7"/>
      </patternFill>
    </fill>
    <fill>
      <patternFill patternType="solid">
        <fgColor rgb="00FFFFFF"/>
      </patternFill>
    </fill>
  </fills>
  <borders count="10">
    <border>
      <left/>
      <right/>
      <top/>
      <bottom/>
      <diagonal/>
    </border>
    <border>
      <bottom style="medium">
        <color rgb="0038BDF8"/>
      </bottom>
    </border>
    <border>
      <bottom style="thin">
        <color rgb="00CBD5E1"/>
      </bottom>
    </border>
    <border>
      <left style="medium">
        <color rgb="0038BDF8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ck">
        <color rgb="0038BDF8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ck">
        <color rgb="0014B8A6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ck">
        <color rgb="0010B98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ck">
        <color rgb="00F59E0B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ck">
        <color rgb="00EF4444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52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horizontal="right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0" fillId="4" borderId="1" pivotButton="0" quotePrefix="0" xfId="0"/>
    <xf numFmtId="0" fontId="4" fillId="5" borderId="2" applyAlignment="1" pivotButton="0" quotePrefix="0" xfId="0">
      <alignment vertical="center"/>
    </xf>
    <xf numFmtId="0" fontId="5" fillId="4" borderId="3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 wrapText="1"/>
    </xf>
    <xf numFmtId="1" fontId="7" fillId="6" borderId="4" applyAlignment="1" applyProtection="1" pivotButton="0" quotePrefix="0" xfId="0">
      <alignment horizontal="center" vertical="center" wrapText="1"/>
      <protection locked="0" hidden="0"/>
    </xf>
    <xf numFmtId="1" fontId="8" fillId="7" borderId="4" applyAlignment="1" pivotButton="0" quotePrefix="0" xfId="0">
      <alignment horizontal="center" vertical="center" wrapText="1"/>
    </xf>
    <xf numFmtId="0" fontId="9" fillId="8" borderId="4" applyAlignment="1" pivotButton="0" quotePrefix="0" xfId="0">
      <alignment horizontal="center" vertical="center" wrapText="1"/>
    </xf>
    <xf numFmtId="0" fontId="10" fillId="4" borderId="4" applyAlignment="1" pivotButton="0" quotePrefix="0" xfId="0">
      <alignment horizontal="center" vertical="center" wrapText="1"/>
    </xf>
    <xf numFmtId="164" fontId="7" fillId="9" borderId="4" applyAlignment="1" pivotButton="0" quotePrefix="0" xfId="0">
      <alignment horizontal="center" vertical="center" wrapText="1"/>
    </xf>
    <xf numFmtId="164" fontId="8" fillId="9" borderId="4" applyAlignment="1" pivotButton="0" quotePrefix="0" xfId="0">
      <alignment horizontal="center" vertical="center" wrapText="1"/>
    </xf>
    <xf numFmtId="164" fontId="11" fillId="9" borderId="4" applyAlignment="1" pivotButton="0" quotePrefix="0" xfId="0">
      <alignment horizontal="center" vertical="center" wrapText="1"/>
    </xf>
    <xf numFmtId="9" fontId="12" fillId="9" borderId="4" applyAlignment="1" pivotButton="0" quotePrefix="0" xfId="0">
      <alignment horizontal="center" vertical="center" wrapText="1"/>
    </xf>
    <xf numFmtId="1" fontId="13" fillId="9" borderId="4" applyAlignment="1" pivotButton="0" quotePrefix="0" xfId="0">
      <alignment horizontal="center" vertical="center" wrapText="1"/>
    </xf>
    <xf numFmtId="1" fontId="14" fillId="9" borderId="4" applyAlignment="1" pivotButton="0" quotePrefix="0" xfId="0">
      <alignment horizontal="center" vertical="center" wrapText="1"/>
    </xf>
    <xf numFmtId="9" fontId="7" fillId="5" borderId="4" applyAlignment="1" pivotButton="0" quotePrefix="0" xfId="0">
      <alignment horizontal="center" vertical="center" wrapText="1"/>
    </xf>
    <xf numFmtId="0" fontId="5" fillId="2" borderId="4" applyAlignment="1" pivotButton="0" quotePrefix="0" xfId="0">
      <alignment horizontal="center" vertical="center" wrapText="1"/>
    </xf>
    <xf numFmtId="0" fontId="15" fillId="9" borderId="5" applyAlignment="1" pivotButton="0" quotePrefix="0" xfId="0">
      <alignment horizontal="left" vertical="center" wrapText="1"/>
    </xf>
    <xf numFmtId="0" fontId="15" fillId="9" borderId="6" applyAlignment="1" pivotButton="0" quotePrefix="0" xfId="0">
      <alignment horizontal="left" vertical="center" wrapText="1"/>
    </xf>
    <xf numFmtId="0" fontId="15" fillId="9" borderId="7" applyAlignment="1" pivotButton="0" quotePrefix="0" xfId="0">
      <alignment horizontal="left" vertical="center" wrapText="1"/>
    </xf>
    <xf numFmtId="0" fontId="15" fillId="9" borderId="8" applyAlignment="1" pivotButton="0" quotePrefix="0" xfId="0">
      <alignment horizontal="left" vertical="center" wrapText="1"/>
    </xf>
    <xf numFmtId="0" fontId="15" fillId="9" borderId="9" applyAlignment="1" pivotButton="0" quotePrefix="0" xfId="0">
      <alignment horizontal="left" vertical="center" wrapText="1"/>
    </xf>
    <xf numFmtId="0" fontId="16" fillId="5" borderId="4" applyAlignment="1" pivotButton="0" quotePrefix="0" xfId="0">
      <alignment horizontal="left" vertical="center" wrapText="1"/>
    </xf>
    <xf numFmtId="0" fontId="15" fillId="9" borderId="4" applyAlignment="1" pivotButton="0" quotePrefix="0" xfId="0">
      <alignment horizontal="left" vertical="center" wrapText="1"/>
    </xf>
    <xf numFmtId="0" fontId="17" fillId="9" borderId="4" applyAlignment="1" pivotButton="0" quotePrefix="0" xfId="0">
      <alignment horizontal="center" vertical="center" wrapText="1"/>
    </xf>
    <xf numFmtId="0" fontId="6" fillId="2" borderId="4" applyAlignment="1" pivotButton="0" quotePrefix="0" xfId="0">
      <alignment horizontal="center" vertical="center" wrapText="1"/>
    </xf>
    <xf numFmtId="0" fontId="5" fillId="4" borderId="4" applyAlignment="1" pivotButton="0" quotePrefix="0" xfId="0">
      <alignment horizontal="center" vertical="center" wrapText="1"/>
    </xf>
    <xf numFmtId="0" fontId="18" fillId="5" borderId="4" applyAlignment="1" pivotButton="0" quotePrefix="0" xfId="0">
      <alignment vertical="center"/>
    </xf>
    <xf numFmtId="0" fontId="19" fillId="6" borderId="3" applyAlignment="1" applyProtection="1" pivotButton="0" quotePrefix="0" xfId="0">
      <alignment horizontal="left" vertical="center" wrapText="1"/>
      <protection locked="0" hidden="0"/>
    </xf>
    <xf numFmtId="0" fontId="16" fillId="5" borderId="4" applyAlignment="1" pivotButton="0" quotePrefix="0" xfId="0">
      <alignment horizontal="center" vertical="center" wrapText="1"/>
    </xf>
    <xf numFmtId="0" fontId="15" fillId="7" borderId="4" applyAlignment="1" pivotButton="0" quotePrefix="0" xfId="0">
      <alignment horizontal="center" vertical="center" wrapText="1"/>
    </xf>
    <xf numFmtId="166" fontId="19" fillId="6" borderId="3" applyAlignment="1" applyProtection="1" pivotButton="0" quotePrefix="0" xfId="0">
      <alignment horizontal="left" vertical="center" wrapText="1"/>
      <protection locked="0" hidden="0"/>
    </xf>
    <xf numFmtId="9" fontId="15" fillId="7" borderId="4" applyAlignment="1" pivotButton="0" quotePrefix="0" xfId="0">
      <alignment horizontal="center" vertical="center" wrapText="1"/>
    </xf>
    <xf numFmtId="0" fontId="15" fillId="8" borderId="4" applyAlignment="1" pivotButton="0" quotePrefix="0" xfId="0">
      <alignment horizontal="center" vertical="center" wrapText="1"/>
    </xf>
    <xf numFmtId="0" fontId="20" fillId="5" borderId="4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/>
    </xf>
    <xf numFmtId="0" fontId="10" fillId="2" borderId="4" applyAlignment="1" pivotButton="0" quotePrefix="0" xfId="0">
      <alignment horizontal="center" vertical="center" wrapText="1"/>
    </xf>
    <xf numFmtId="164" fontId="19" fillId="6" borderId="3" applyAlignment="1" applyProtection="1" pivotButton="0" quotePrefix="0" xfId="0">
      <alignment horizontal="left" vertical="center" wrapText="1"/>
      <protection locked="0" hidden="0"/>
    </xf>
    <xf numFmtId="164" fontId="15" fillId="7" borderId="4" applyAlignment="1" applyProtection="1" pivotButton="0" quotePrefix="0" xfId="0">
      <alignment horizontal="right" vertical="center" wrapText="1"/>
      <protection locked="0" hidden="0"/>
    </xf>
    <xf numFmtId="0" fontId="15" fillId="7" borderId="4" applyAlignment="1" applyProtection="1" pivotButton="0" quotePrefix="0" xfId="0">
      <alignment horizontal="center" vertical="center" wrapText="1"/>
      <protection locked="0" hidden="0"/>
    </xf>
    <xf numFmtId="0" fontId="6" fillId="4" borderId="4" applyAlignment="1" pivotButton="0" quotePrefix="0" xfId="0">
      <alignment horizontal="left" vertical="center" wrapText="1"/>
    </xf>
    <xf numFmtId="0" fontId="21" fillId="9" borderId="4" applyAlignment="1" pivotButton="0" quotePrefix="0" xfId="0">
      <alignment horizontal="left" vertical="center" wrapText="1"/>
    </xf>
    <xf numFmtId="0" fontId="22" fillId="2" borderId="4" applyAlignment="1" pivotButton="0" quotePrefix="0" xfId="0">
      <alignment horizontal="center" vertical="center" wrapText="1"/>
    </xf>
    <xf numFmtId="0" fontId="5" fillId="3" borderId="4" applyAlignment="1" pivotButton="0" quotePrefix="0" xfId="0">
      <alignment horizontal="center" vertical="center" wrapText="1"/>
    </xf>
    <xf numFmtId="0" fontId="23" fillId="2" borderId="0" pivotButton="0" quotePrefix="0" xfId="0"/>
    <xf numFmtId="0" fontId="10" fillId="4" borderId="0" applyAlignment="1" pivotButton="0" quotePrefix="0" xfId="0">
      <alignment horizontal="center" vertical="bottom" textRotation="45"/>
    </xf>
    <xf numFmtId="0" fontId="24" fillId="5" borderId="4" pivotButton="0" quotePrefix="0" xfId="0"/>
    <xf numFmtId="0" fontId="24" fillId="9" borderId="4" pivotButton="0" quotePrefix="0" xfId="0"/>
  </cellXfs>
  <cellStyles count="1">
    <cellStyle name="Normal" xfId="0" builtinId="0" hidden="0"/>
  </cellStyles>
  <dxfs count="6">
    <dxf>
      <fill>
        <patternFill patternType="solid">
          <fgColor rgb="00DCFCE7"/>
        </patternFill>
      </fill>
    </dxf>
    <dxf>
      <fill>
        <patternFill patternType="solid">
          <fgColor rgb="00FEF3C7"/>
        </patternFill>
      </fill>
    </dxf>
    <dxf>
      <font>
        <b val="1"/>
        <color rgb="0010B981"/>
      </font>
      <fill>
        <patternFill patternType="solid">
          <fgColor rgb="00DCFCE7"/>
        </patternFill>
      </fill>
    </dxf>
    <dxf>
      <font>
        <b val="1"/>
        <color rgb="000284C7"/>
      </font>
      <fill>
        <patternFill patternType="solid">
          <fgColor rgb="00ECFEFF"/>
        </patternFill>
      </fill>
    </dxf>
    <dxf>
      <font>
        <b val="1"/>
        <color rgb="00EF4444"/>
      </font>
      <fill>
        <patternFill patternType="solid">
          <fgColor rgb="00FEE2E2"/>
        </patternFill>
      </fill>
    </dxf>
    <dxf>
      <font>
        <b val="1"/>
        <color rgb="0064748B"/>
      </font>
      <fill>
        <patternFill patternType="solid">
          <fgColor rgb="00E2E8F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Situação dos informes</a:t>
            </a:r>
          </a:p>
        </rich>
      </tx>
    </title>
    <plotArea>
      <doughnutChart>
        <varyColors val="1"/>
        <ser>
          <idx val="0"/>
          <order val="0"/>
          <tx>
            <strRef>
              <f>'Início'!O2</f>
            </strRef>
          </tx>
          <spPr>
            <a:ln xmlns:a="http://schemas.openxmlformats.org/drawingml/2006/main">
              <a:prstDash val="solid"/>
            </a:ln>
          </spPr>
          <cat>
            <numRef>
              <f>'Início'!$N$3:$N$6</f>
            </numRef>
          </cat>
          <val>
            <numRef>
              <f>'Início'!$O$3:$O$6</f>
            </numRef>
          </val>
        </ser>
        <dLbls>
          <showPercent val="1"/>
          <showLeaderLines val="1"/>
        </dLbls>
        <firstSliceAng val="0"/>
        <holeSize val="58"/>
      </doughnutChart>
    </plotArea>
    <legend>
      <legendPos val="b"/>
    </legend>
    <plotVisOnly val="1"/>
    <dispBlanksAs val="gap"/>
  </chart>
</chartSpace>
</file>

<file path=xl/comments/comment1.xml><?xml version="1.0" encoding="utf-8"?>
<comments xmlns="http://schemas.openxmlformats.org/spreadsheetml/2006/main">
  <authors>
    <author>IR Panorama</author>
  </authors>
  <commentList>
    <comment ref="C6" authorId="0" shapeId="0">
      <text>
        <t>Altere para o ano dos documentos que serão organizados.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32</row>
      <rowOff>0</rowOff>
    </from>
    <ext cx="468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blDependentes" displayName="tblDependentes" ref="A8:H38" headerRowCount="1">
  <autoFilter ref="A8:H38"/>
  <tableColumns count="8">
    <tableColumn id="1" name="ID"/>
    <tableColumn id="2" name="Nome"/>
    <tableColumn id="3" name="CPF"/>
    <tableColumn id="4" name="Nascimento"/>
    <tableColumn id="5" name="Relação"/>
    <tableColumn id="6" name="Reside com titular?"/>
    <tableColumn id="7" name="Status"/>
    <tableColumn id="8" name="Observaçõ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blRendimentos" displayName="tblRendimentos" ref="A8:J38" headerRowCount="1">
  <autoFilter ref="A8:J38"/>
  <tableColumns count="10">
    <tableColumn id="1" name="ID"/>
    <tableColumn id="2" name="Categoria"/>
    <tableColumn id="3" name="Fonte pagadora"/>
    <tableColumn id="4" name="CPF/CNPJ"/>
    <tableColumn id="5" name="Valor bruto"/>
    <tableColumn id="6" name="IRRF"/>
    <tableColumn id="7" name="INSS"/>
    <tableColumn id="8" name="Documento"/>
    <tableColumn id="9" name="Status"/>
    <tableColumn id="10" name="Observaçõe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blBens" displayName="tblBens" ref="A8:K38" headerRowCount="1">
  <autoFilter ref="A8:K38"/>
  <tableColumns count="11">
    <tableColumn id="1" name="ID"/>
    <tableColumn id="2" name="Grupo"/>
    <tableColumn id="3" name="Código"/>
    <tableColumn id="4" name="Descrição"/>
    <tableColumn id="5" name="País"/>
    <tableColumn id="6" name="Aquisição"/>
    <tableColumn id="7" name="Situação anterior"/>
    <tableColumn id="8" name="Situação atual"/>
    <tableColumn id="9" name="Documento"/>
    <tableColumn id="10" name="Status"/>
    <tableColumn id="11" name="Observaçõe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blPagamentos" displayName="tblPagamentos" ref="A8:K38" headerRowCount="1">
  <autoFilter ref="A8:K38"/>
  <tableColumns count="11">
    <tableColumn id="1" name="ID"/>
    <tableColumn id="2" name="Categoria"/>
    <tableColumn id="3" name="Beneficiário"/>
    <tableColumn id="4" name="CPF/CNPJ"/>
    <tableColumn id="5" name="Pessoa"/>
    <tableColumn id="6" name="Valor pago"/>
    <tableColumn id="7" name="Reembolso"/>
    <tableColumn id="8" name="Valor líquido"/>
    <tableColumn id="9" name="Documento"/>
    <tableColumn id="10" name="Status"/>
    <tableColumn id="11" name="Observaçõe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blInformes" displayName="tblInformes" ref="A8:I38" headerRowCount="1">
  <autoFilter ref="A8:I38"/>
  <tableColumns count="9">
    <tableColumn id="1" name="ID"/>
    <tableColumn id="2" name="Categoria"/>
    <tableColumn id="3" name="Fonte/Instituição"/>
    <tableColumn id="4" name="Identificador"/>
    <tableColumn id="5" name="Documento esperado"/>
    <tableColumn id="6" name="Arquivo/Local"/>
    <tableColumn id="7" name="Recebido em"/>
    <tableColumn id="8" name="Status"/>
    <tableColumn id="9" name="Observações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tblNotas" displayName="tblNotas" ref="A8:I38" headerRowCount="1">
  <autoFilter ref="A8:I38"/>
  <tableColumns count="9">
    <tableColumn id="1" name="ID"/>
    <tableColumn id="2" name="Categoria"/>
    <tableColumn id="3" name="Assunto"/>
    <tableColumn id="4" name="Nota"/>
    <tableColumn id="5" name="Prioridade"/>
    <tableColumn id="6" name="Prazo"/>
    <tableColumn id="7" name="Status"/>
    <tableColumn id="8" name="Alerta"/>
    <tableColumn id="9" name="Responsáve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In&#237;cio'!A1" TargetMode="External" Id="rId1"/><Relationship Type="http://schemas.openxmlformats.org/officeDocument/2006/relationships/hyperlink" Target="#'Titular'!A1" TargetMode="External" Id="rId2"/><Relationship Type="http://schemas.openxmlformats.org/officeDocument/2006/relationships/hyperlink" Target="#'Dependentes'!A1" TargetMode="External" Id="rId3"/><Relationship Type="http://schemas.openxmlformats.org/officeDocument/2006/relationships/hyperlink" Target="#'Rendimentos'!A1" TargetMode="External" Id="rId4"/><Relationship Type="http://schemas.openxmlformats.org/officeDocument/2006/relationships/hyperlink" Target="#'Bens'!A1" TargetMode="External" Id="rId5"/><Relationship Type="http://schemas.openxmlformats.org/officeDocument/2006/relationships/hyperlink" Target="#'Pagamentos'!A1" TargetMode="External" Id="rId6"/><Relationship Type="http://schemas.openxmlformats.org/officeDocument/2006/relationships/hyperlink" Target="#'Informes'!A1" TargetMode="External" Id="rId7"/><Relationship Type="http://schemas.openxmlformats.org/officeDocument/2006/relationships/hyperlink" Target="#'Notas'!A1" TargetMode="External" Id="rId8"/><Relationship Type="http://schemas.openxmlformats.org/officeDocument/2006/relationships/hyperlink" Target="#'Guia'!A1" TargetMode="External" Id="rId9"/><Relationship Type="http://schemas.openxmlformats.org/officeDocument/2006/relationships/hyperlink" Target="#'Titular'!A1" TargetMode="External" Id="rId10"/><Relationship Type="http://schemas.openxmlformats.org/officeDocument/2006/relationships/hyperlink" Target="#'Dependentes'!A1" TargetMode="External" Id="rId11"/><Relationship Type="http://schemas.openxmlformats.org/officeDocument/2006/relationships/hyperlink" Target="#'Rendimentos'!A1" TargetMode="External" Id="rId12"/><Relationship Type="http://schemas.openxmlformats.org/officeDocument/2006/relationships/hyperlink" Target="#'Bens'!A1" TargetMode="External" Id="rId13"/><Relationship Type="http://schemas.openxmlformats.org/officeDocument/2006/relationships/hyperlink" Target="#'Pagamentos'!A1" TargetMode="External" Id="rId14"/><Relationship Type="http://schemas.openxmlformats.org/officeDocument/2006/relationships/hyperlink" Target="#'Informes'!A1" TargetMode="External" Id="rId15"/><Relationship Type="http://schemas.openxmlformats.org/officeDocument/2006/relationships/hyperlink" Target="#'Notas'!A1" TargetMode="External" Id="rId16"/><Relationship Type="http://schemas.openxmlformats.org/officeDocument/2006/relationships/hyperlink" Target="#'Guia'!A1" TargetMode="External" Id="rId17"/><Relationship Type="http://schemas.openxmlformats.org/officeDocument/2006/relationships/hyperlink" Target="https://www.gov.br/receitafederal/pt-br/assuntos/meu-imposto-de-renda" TargetMode="External" Id="rId18"/><Relationship Type="http://schemas.openxmlformats.org/officeDocument/2006/relationships/hyperlink" Target="https://cav.receita.fazenda.gov.br/autenticacao/login" TargetMode="External" Id="rId19"/><Relationship Type="http://schemas.openxmlformats.org/officeDocument/2006/relationships/hyperlink" Target="https://www.gov.br/pt-br" TargetMode="External" Id="rId20"/><Relationship Type="http://schemas.openxmlformats.org/officeDocument/2006/relationships/drawing" Target="/xl/drawings/drawing1.xml" Id="rId2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hyperlink" Target="#'In&#237;cio'!A1" TargetMode="External" Id="rId1"/><Relationship Type="http://schemas.openxmlformats.org/officeDocument/2006/relationships/hyperlink" Target="#'Titular'!A1" TargetMode="External" Id="rId2"/><Relationship Type="http://schemas.openxmlformats.org/officeDocument/2006/relationships/hyperlink" Target="#'Dependentes'!A1" TargetMode="External" Id="rId3"/><Relationship Type="http://schemas.openxmlformats.org/officeDocument/2006/relationships/hyperlink" Target="#'Rendimentos'!A1" TargetMode="External" Id="rId4"/><Relationship Type="http://schemas.openxmlformats.org/officeDocument/2006/relationships/hyperlink" Target="#'Bens'!A1" TargetMode="External" Id="rId5"/><Relationship Type="http://schemas.openxmlformats.org/officeDocument/2006/relationships/hyperlink" Target="#'Pagamentos'!A1" TargetMode="External" Id="rId6"/><Relationship Type="http://schemas.openxmlformats.org/officeDocument/2006/relationships/hyperlink" Target="#'Informes'!A1" TargetMode="External" Id="rId7"/><Relationship Type="http://schemas.openxmlformats.org/officeDocument/2006/relationships/hyperlink" Target="#'Notas'!A1" TargetMode="External" Id="rId8"/><Relationship Type="http://schemas.openxmlformats.org/officeDocument/2006/relationships/hyperlink" Target="#'Guia'!A1" TargetMode="External" Id="rId9"/><Relationship Type="http://schemas.openxmlformats.org/officeDocument/2006/relationships/hyperlink" Target="#'In&#237;cio'!A1" TargetMode="External" Id="rId10"/></Relationships>
</file>

<file path=xl/worksheets/_rels/sheet3.xml.rels><Relationships xmlns="http://schemas.openxmlformats.org/package/2006/relationships"><Relationship Type="http://schemas.openxmlformats.org/officeDocument/2006/relationships/hyperlink" Target="#'In&#237;cio'!A1" TargetMode="External" Id="rId1"/><Relationship Type="http://schemas.openxmlformats.org/officeDocument/2006/relationships/hyperlink" Target="#'Titular'!A1" TargetMode="External" Id="rId2"/><Relationship Type="http://schemas.openxmlformats.org/officeDocument/2006/relationships/hyperlink" Target="#'Dependentes'!A1" TargetMode="External" Id="rId3"/><Relationship Type="http://schemas.openxmlformats.org/officeDocument/2006/relationships/hyperlink" Target="#'Rendimentos'!A1" TargetMode="External" Id="rId4"/><Relationship Type="http://schemas.openxmlformats.org/officeDocument/2006/relationships/hyperlink" Target="#'Bens'!A1" TargetMode="External" Id="rId5"/><Relationship Type="http://schemas.openxmlformats.org/officeDocument/2006/relationships/hyperlink" Target="#'Pagamentos'!A1" TargetMode="External" Id="rId6"/><Relationship Type="http://schemas.openxmlformats.org/officeDocument/2006/relationships/hyperlink" Target="#'Informes'!A1" TargetMode="External" Id="rId7"/><Relationship Type="http://schemas.openxmlformats.org/officeDocument/2006/relationships/hyperlink" Target="#'Notas'!A1" TargetMode="External" Id="rId8"/><Relationship Type="http://schemas.openxmlformats.org/officeDocument/2006/relationships/hyperlink" Target="#'Guia'!A1" TargetMode="External" Id="rId9"/><Relationship Type="http://schemas.openxmlformats.org/officeDocument/2006/relationships/table" Target="/xl/tables/table1.xml" Id="rId10"/></Relationships>
</file>

<file path=xl/worksheets/_rels/sheet4.xml.rels><Relationships xmlns="http://schemas.openxmlformats.org/package/2006/relationships"><Relationship Type="http://schemas.openxmlformats.org/officeDocument/2006/relationships/hyperlink" Target="#'In&#237;cio'!A1" TargetMode="External" Id="rId1"/><Relationship Type="http://schemas.openxmlformats.org/officeDocument/2006/relationships/hyperlink" Target="#'Titular'!A1" TargetMode="External" Id="rId2"/><Relationship Type="http://schemas.openxmlformats.org/officeDocument/2006/relationships/hyperlink" Target="#'Dependentes'!A1" TargetMode="External" Id="rId3"/><Relationship Type="http://schemas.openxmlformats.org/officeDocument/2006/relationships/hyperlink" Target="#'Rendimentos'!A1" TargetMode="External" Id="rId4"/><Relationship Type="http://schemas.openxmlformats.org/officeDocument/2006/relationships/hyperlink" Target="#'Bens'!A1" TargetMode="External" Id="rId5"/><Relationship Type="http://schemas.openxmlformats.org/officeDocument/2006/relationships/hyperlink" Target="#'Pagamentos'!A1" TargetMode="External" Id="rId6"/><Relationship Type="http://schemas.openxmlformats.org/officeDocument/2006/relationships/hyperlink" Target="#'Informes'!A1" TargetMode="External" Id="rId7"/><Relationship Type="http://schemas.openxmlformats.org/officeDocument/2006/relationships/hyperlink" Target="#'Notas'!A1" TargetMode="External" Id="rId8"/><Relationship Type="http://schemas.openxmlformats.org/officeDocument/2006/relationships/hyperlink" Target="#'Guia'!A1" TargetMode="External" Id="rId9"/><Relationship Type="http://schemas.openxmlformats.org/officeDocument/2006/relationships/table" Target="/xl/tables/table2.xml" Id="rId10"/></Relationships>
</file>

<file path=xl/worksheets/_rels/sheet5.xml.rels><Relationships xmlns="http://schemas.openxmlformats.org/package/2006/relationships"><Relationship Type="http://schemas.openxmlformats.org/officeDocument/2006/relationships/hyperlink" Target="#'In&#237;cio'!A1" TargetMode="External" Id="rId1"/><Relationship Type="http://schemas.openxmlformats.org/officeDocument/2006/relationships/hyperlink" Target="#'Titular'!A1" TargetMode="External" Id="rId2"/><Relationship Type="http://schemas.openxmlformats.org/officeDocument/2006/relationships/hyperlink" Target="#'Dependentes'!A1" TargetMode="External" Id="rId3"/><Relationship Type="http://schemas.openxmlformats.org/officeDocument/2006/relationships/hyperlink" Target="#'Rendimentos'!A1" TargetMode="External" Id="rId4"/><Relationship Type="http://schemas.openxmlformats.org/officeDocument/2006/relationships/hyperlink" Target="#'Bens'!A1" TargetMode="External" Id="rId5"/><Relationship Type="http://schemas.openxmlformats.org/officeDocument/2006/relationships/hyperlink" Target="#'Pagamentos'!A1" TargetMode="External" Id="rId6"/><Relationship Type="http://schemas.openxmlformats.org/officeDocument/2006/relationships/hyperlink" Target="#'Informes'!A1" TargetMode="External" Id="rId7"/><Relationship Type="http://schemas.openxmlformats.org/officeDocument/2006/relationships/hyperlink" Target="#'Notas'!A1" TargetMode="External" Id="rId8"/><Relationship Type="http://schemas.openxmlformats.org/officeDocument/2006/relationships/hyperlink" Target="#'Guia'!A1" TargetMode="External" Id="rId9"/><Relationship Type="http://schemas.openxmlformats.org/officeDocument/2006/relationships/table" Target="/xl/tables/table3.xml" Id="rId10"/></Relationships>
</file>

<file path=xl/worksheets/_rels/sheet6.xml.rels><Relationships xmlns="http://schemas.openxmlformats.org/package/2006/relationships"><Relationship Type="http://schemas.openxmlformats.org/officeDocument/2006/relationships/hyperlink" Target="#'In&#237;cio'!A1" TargetMode="External" Id="rId1"/><Relationship Type="http://schemas.openxmlformats.org/officeDocument/2006/relationships/hyperlink" Target="#'Titular'!A1" TargetMode="External" Id="rId2"/><Relationship Type="http://schemas.openxmlformats.org/officeDocument/2006/relationships/hyperlink" Target="#'Dependentes'!A1" TargetMode="External" Id="rId3"/><Relationship Type="http://schemas.openxmlformats.org/officeDocument/2006/relationships/hyperlink" Target="#'Rendimentos'!A1" TargetMode="External" Id="rId4"/><Relationship Type="http://schemas.openxmlformats.org/officeDocument/2006/relationships/hyperlink" Target="#'Bens'!A1" TargetMode="External" Id="rId5"/><Relationship Type="http://schemas.openxmlformats.org/officeDocument/2006/relationships/hyperlink" Target="#'Pagamentos'!A1" TargetMode="External" Id="rId6"/><Relationship Type="http://schemas.openxmlformats.org/officeDocument/2006/relationships/hyperlink" Target="#'Informes'!A1" TargetMode="External" Id="rId7"/><Relationship Type="http://schemas.openxmlformats.org/officeDocument/2006/relationships/hyperlink" Target="#'Notas'!A1" TargetMode="External" Id="rId8"/><Relationship Type="http://schemas.openxmlformats.org/officeDocument/2006/relationships/hyperlink" Target="#'Guia'!A1" TargetMode="External" Id="rId9"/><Relationship Type="http://schemas.openxmlformats.org/officeDocument/2006/relationships/table" Target="/xl/tables/table4.xml" Id="rId10"/></Relationships>
</file>

<file path=xl/worksheets/_rels/sheet7.xml.rels><Relationships xmlns="http://schemas.openxmlformats.org/package/2006/relationships"><Relationship Type="http://schemas.openxmlformats.org/officeDocument/2006/relationships/hyperlink" Target="#'In&#237;cio'!A1" TargetMode="External" Id="rId1"/><Relationship Type="http://schemas.openxmlformats.org/officeDocument/2006/relationships/hyperlink" Target="#'Titular'!A1" TargetMode="External" Id="rId2"/><Relationship Type="http://schemas.openxmlformats.org/officeDocument/2006/relationships/hyperlink" Target="#'Dependentes'!A1" TargetMode="External" Id="rId3"/><Relationship Type="http://schemas.openxmlformats.org/officeDocument/2006/relationships/hyperlink" Target="#'Rendimentos'!A1" TargetMode="External" Id="rId4"/><Relationship Type="http://schemas.openxmlformats.org/officeDocument/2006/relationships/hyperlink" Target="#'Bens'!A1" TargetMode="External" Id="rId5"/><Relationship Type="http://schemas.openxmlformats.org/officeDocument/2006/relationships/hyperlink" Target="#'Pagamentos'!A1" TargetMode="External" Id="rId6"/><Relationship Type="http://schemas.openxmlformats.org/officeDocument/2006/relationships/hyperlink" Target="#'Informes'!A1" TargetMode="External" Id="rId7"/><Relationship Type="http://schemas.openxmlformats.org/officeDocument/2006/relationships/hyperlink" Target="#'Notas'!A1" TargetMode="External" Id="rId8"/><Relationship Type="http://schemas.openxmlformats.org/officeDocument/2006/relationships/hyperlink" Target="#'Guia'!A1" TargetMode="External" Id="rId9"/><Relationship Type="http://schemas.openxmlformats.org/officeDocument/2006/relationships/table" Target="/xl/tables/table5.xml" Id="rId10"/></Relationships>
</file>

<file path=xl/worksheets/_rels/sheet8.xml.rels><Relationships xmlns="http://schemas.openxmlformats.org/package/2006/relationships"><Relationship Type="http://schemas.openxmlformats.org/officeDocument/2006/relationships/hyperlink" Target="#'In&#237;cio'!A1" TargetMode="External" Id="rId1"/><Relationship Type="http://schemas.openxmlformats.org/officeDocument/2006/relationships/hyperlink" Target="#'Titular'!A1" TargetMode="External" Id="rId2"/><Relationship Type="http://schemas.openxmlformats.org/officeDocument/2006/relationships/hyperlink" Target="#'Dependentes'!A1" TargetMode="External" Id="rId3"/><Relationship Type="http://schemas.openxmlformats.org/officeDocument/2006/relationships/hyperlink" Target="#'Rendimentos'!A1" TargetMode="External" Id="rId4"/><Relationship Type="http://schemas.openxmlformats.org/officeDocument/2006/relationships/hyperlink" Target="#'Bens'!A1" TargetMode="External" Id="rId5"/><Relationship Type="http://schemas.openxmlformats.org/officeDocument/2006/relationships/hyperlink" Target="#'Pagamentos'!A1" TargetMode="External" Id="rId6"/><Relationship Type="http://schemas.openxmlformats.org/officeDocument/2006/relationships/hyperlink" Target="#'Informes'!A1" TargetMode="External" Id="rId7"/><Relationship Type="http://schemas.openxmlformats.org/officeDocument/2006/relationships/hyperlink" Target="#'Notas'!A1" TargetMode="External" Id="rId8"/><Relationship Type="http://schemas.openxmlformats.org/officeDocument/2006/relationships/hyperlink" Target="#'Guia'!A1" TargetMode="External" Id="rId9"/><Relationship Type="http://schemas.openxmlformats.org/officeDocument/2006/relationships/table" Target="/xl/tables/table6.xml" Id="rId10"/></Relationships>
</file>

<file path=xl/worksheets/_rels/sheet9.xml.rels><Relationships xmlns="http://schemas.openxmlformats.org/package/2006/relationships"><Relationship Type="http://schemas.openxmlformats.org/officeDocument/2006/relationships/hyperlink" Target="#'In&#237;cio'!A1" TargetMode="External" Id="rId1"/><Relationship Type="http://schemas.openxmlformats.org/officeDocument/2006/relationships/hyperlink" Target="#'Titular'!A1" TargetMode="External" Id="rId2"/><Relationship Type="http://schemas.openxmlformats.org/officeDocument/2006/relationships/hyperlink" Target="#'Dependentes'!A1" TargetMode="External" Id="rId3"/><Relationship Type="http://schemas.openxmlformats.org/officeDocument/2006/relationships/hyperlink" Target="#'Rendimentos'!A1" TargetMode="External" Id="rId4"/><Relationship Type="http://schemas.openxmlformats.org/officeDocument/2006/relationships/hyperlink" Target="#'Bens'!A1" TargetMode="External" Id="rId5"/><Relationship Type="http://schemas.openxmlformats.org/officeDocument/2006/relationships/hyperlink" Target="#'Pagamentos'!A1" TargetMode="External" Id="rId6"/><Relationship Type="http://schemas.openxmlformats.org/officeDocument/2006/relationships/hyperlink" Target="#'Informes'!A1" TargetMode="External" Id="rId7"/><Relationship Type="http://schemas.openxmlformats.org/officeDocument/2006/relationships/hyperlink" Target="#'Notas'!A1" TargetMode="External" Id="rId8"/><Relationship Type="http://schemas.openxmlformats.org/officeDocument/2006/relationships/hyperlink" Target="#'Guia'!A1" TargetMode="External" Id="rId9"/><Relationship Type="http://schemas.openxmlformats.org/officeDocument/2006/relationships/hyperlink" Target="#'In&#237;cio'!A1" TargetMode="External" Id="rId10"/></Relationships>
</file>

<file path=xl/worksheets/sheet1.xml><?xml version="1.0" encoding="utf-8"?>
<worksheet xmlns="http://schemas.openxmlformats.org/spreadsheetml/2006/main" xmlns:ns1="http://schemas.openxmlformats.org/officeDocument/2006/relationships">
  <sheetPr>
    <outlinePr summaryBelow="1" summaryRight="1"/>
    <pageSetUpPr fitToPage="1"/>
  </sheetPr>
  <dimension ref="A1:O51"/>
  <sheetViews>
    <sheetView showGridLines="0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hidden="1" width="18" customWidth="1" min="14" max="14"/>
    <col hidden="1" width="12" customWidth="1" min="15" max="15"/>
  </cols>
  <sheetData>
    <row r="1" ht="24" customHeight="1">
      <c r="A1" s="1" t="inlineStr">
        <is>
          <t>IR PANORAMA</t>
        </is>
      </c>
      <c r="I1" s="2" t="inlineStr">
        <is>
          <t>PROJETO AUTORAL • DADOS FICTÍCIOS</t>
        </is>
      </c>
    </row>
    <row r="2" ht="24" customHeight="1">
      <c r="A2" s="3" t="inlineStr">
        <is>
          <t>INÍCIO</t>
        </is>
      </c>
      <c r="B2" s="4" t="inlineStr">
        <is>
          <t>TITULAR</t>
        </is>
      </c>
      <c r="C2" s="4" t="inlineStr">
        <is>
          <t>DEPENDENTES</t>
        </is>
      </c>
      <c r="D2" s="4" t="inlineStr">
        <is>
          <t>RENDIMENTOS</t>
        </is>
      </c>
      <c r="E2" s="4" t="inlineStr">
        <is>
          <t>BENS</t>
        </is>
      </c>
      <c r="F2" s="4" t="inlineStr">
        <is>
          <t>PAGAMENTOS</t>
        </is>
      </c>
      <c r="G2" s="4" t="inlineStr">
        <is>
          <t>INFORMES</t>
        </is>
      </c>
      <c r="H2" s="4" t="inlineStr">
        <is>
          <t>NOTAS</t>
        </is>
      </c>
      <c r="I2" s="4" t="inlineStr">
        <is>
          <t>GUIA</t>
        </is>
      </c>
      <c r="J2" s="5" t="n"/>
      <c r="K2" s="5" t="n"/>
      <c r="L2" s="5" t="n"/>
      <c r="N2" t="inlineStr">
        <is>
          <t>Status</t>
        </is>
      </c>
      <c r="O2" t="inlineStr">
        <is>
          <t>Quantidade</t>
        </is>
      </c>
    </row>
    <row r="3" ht="24" customHeight="1">
      <c r="A3" s="6" t="inlineStr">
        <is>
          <t>Organizador autoral para reunir documentos, dados e pendências da declaração de Imposto de Renda.</t>
        </is>
      </c>
      <c r="N3" t="inlineStr">
        <is>
          <t>Conferido</t>
        </is>
      </c>
      <c r="O3">
        <f>COUNTIF(Informes!$H$9:$H$38,"Conferido")</f>
        <v>5</v>
      </c>
    </row>
    <row r="4" ht="22" customHeight="1">
      <c r="N4" t="inlineStr">
        <is>
          <t>Recebido</t>
        </is>
      </c>
      <c r="O4">
        <f>COUNTIF(Informes!$H$9:$H$38,"Recebido")</f>
        <v>2</v>
      </c>
    </row>
    <row r="5" ht="22" customHeight="1">
      <c r="A5" s="7" t="inlineStr">
        <is>
          <t>VISÃO GERAL DA ORGANIZAÇÃO</t>
        </is>
      </c>
      <c r="N5" t="inlineStr">
        <is>
          <t>Pendente</t>
        </is>
      </c>
      <c r="O5">
        <f>COUNTIF(Informes!$H$9:$H$38,"Pendente")</f>
        <v>1</v>
      </c>
    </row>
    <row r="6" ht="22" customHeight="1">
      <c r="A6" s="8" t="inlineStr">
        <is>
          <t>ANO-CALENDÁRIO</t>
        </is>
      </c>
      <c r="C6" s="9" t="n">
        <v>2025</v>
      </c>
      <c r="E6" s="8" t="inlineStr">
        <is>
          <t>EXERCÍCIO</t>
        </is>
      </c>
      <c r="G6" s="10">
        <f>ano_calendario+1</f>
        <v>2026</v>
      </c>
      <c r="I6" s="8" t="inlineStr">
        <is>
          <t>MODO</t>
        </is>
      </c>
      <c r="K6" s="11" t="inlineStr">
        <is>
          <t>DEMONSTRAÇÃO</t>
        </is>
      </c>
      <c r="N6" t="inlineStr">
        <is>
          <t>Não se aplica</t>
        </is>
      </c>
      <c r="O6">
        <f>COUNTIF(Informes!$H$9:$H$38,"Não se aplica")</f>
        <v>0</v>
      </c>
    </row>
    <row r="7" ht="22" customHeight="1"/>
    <row r="8" ht="22" customHeight="1"/>
    <row r="9" ht="22" customHeight="1">
      <c r="A9" s="12" t="inlineStr">
        <is>
          <t>RENDIMENTOS BRUTOS</t>
        </is>
      </c>
      <c r="D9" s="12" t="inlineStr">
        <is>
          <t>BENS — SITUAÇÃO ATUAL</t>
        </is>
      </c>
      <c r="G9" s="12" t="inlineStr">
        <is>
          <t>PAGAMENTOS LÍQUIDOS</t>
        </is>
      </c>
      <c r="J9" s="12" t="inlineStr">
        <is>
          <t>DOCUMENTOS CONFERIDOS</t>
        </is>
      </c>
    </row>
    <row r="10" ht="22" customHeight="1">
      <c r="A10" s="13">
        <f>SUM(Rendimentos!$E$9:$E$38)</f>
        <v>93830.75</v>
      </c>
      <c r="D10" s="14">
        <f>SUM(Bens!$H$9:$H$38)</f>
        <v>337650.75</v>
      </c>
      <c r="G10" s="15">
        <f>SUM(Pagamentos!$H$9:$H$38)</f>
        <v>12460</v>
      </c>
      <c r="J10" s="16">
        <f>IFERROR((COUNTIF(Informes!$H$9:$H$38,"Conferido")+COUNTIF(Informes!$H$9:$H$38,"Não se aplica"))/COUNTIF(Informes!$A$9:$A$38,"&lt;&gt;"),0)</f>
        <v>0.625</v>
      </c>
    </row>
    <row r="11" ht="22" customHeight="1"/>
    <row r="12" ht="22" customHeight="1"/>
    <row r="13" ht="22" customHeight="1"/>
    <row r="14" ht="22" customHeight="1">
      <c r="A14" s="12" t="inlineStr">
        <is>
          <t>IR RETIDO INFORMADO</t>
        </is>
      </c>
      <c r="D14" s="12" t="inlineStr">
        <is>
          <t>INSS INFORMADO</t>
        </is>
      </c>
      <c r="G14" s="12" t="inlineStr">
        <is>
          <t>PENDÊNCIAS ABERTAS</t>
        </is>
      </c>
      <c r="J14" s="12" t="inlineStr">
        <is>
          <t>REGISTROS FINANCEIROS</t>
        </is>
      </c>
    </row>
    <row r="15" ht="22" customHeight="1">
      <c r="A15" s="13">
        <f>SUM(Rendimentos!$F$9:$F$38)</f>
        <v>7800</v>
      </c>
      <c r="D15" s="14">
        <f>SUM(Rendimentos!$G$9:$G$38)</f>
        <v>7260</v>
      </c>
      <c r="G15" s="17">
        <f>COUNTIFS(Informes!$A$9:$A$38,"&lt;&gt;",Informes!$H$9:$H$38,"&lt;&gt;Conferido",Informes!$H$9:$H$38,"&lt;&gt;Não se aplica")+COUNTIFS(Notas!$A$9:$A$38,"&lt;&gt;",Notas!$G$9:$G$38,"&lt;&gt;Concluída")</f>
        <v>5</v>
      </c>
      <c r="J15" s="18">
        <f>COUNTA(Rendimentos!$A$9:$A$38)+COUNTA(Bens!$A$9:$A$38)+COUNTA(Pagamentos!$A$9:$A$38)</f>
        <v>11</v>
      </c>
    </row>
    <row r="16" ht="22" customHeight="1"/>
    <row r="17" ht="22" customHeight="1"/>
    <row r="18" ht="22" customHeight="1">
      <c r="A18" s="8" t="inlineStr">
        <is>
          <t>PROGRESSO DA CONFERÊNCIA DOCUMENTAL</t>
        </is>
      </c>
    </row>
    <row r="19" ht="22" customHeight="1">
      <c r="A19" s="19">
        <f>IFERROR((COUNTIF(Informes!$H$9:$H$38,"Conferido")+COUNTIF(Informes!$H$9:$H$38,"Não se aplica"))/COUNTIF(Informes!$A$9:$A$38,"&lt;&gt;"),0)</f>
        <v>0.625</v>
      </c>
    </row>
    <row r="20" ht="22" customHeight="1"/>
    <row r="21" ht="22" customHeight="1"/>
    <row r="22" ht="22" customHeight="1">
      <c r="A22" s="20" t="inlineStr">
        <is>
          <t>MENU PRINCIPAL — CLIQUE EM UMA ÁREA</t>
        </is>
      </c>
    </row>
    <row r="23" ht="22" customHeight="1">
      <c r="A23" s="21" t="inlineStr">
        <is>
          <t>01  TITULAR
Cadastro e parâmetros da declaração</t>
        </is>
      </c>
      <c r="D23" s="22" t="inlineStr">
        <is>
          <t>02  DEPENDENTES
Relações e conferência cadastral</t>
        </is>
      </c>
      <c r="G23" s="23" t="inlineStr">
        <is>
          <t>03  RENDIMENTOS
Fontes, IRRF e INSS</t>
        </is>
      </c>
      <c r="J23" s="24" t="inlineStr">
        <is>
          <t>04  BENS
Saldos anterior e atual</t>
        </is>
      </c>
    </row>
    <row r="24" ht="22" customHeight="1"/>
    <row r="25" ht="22" customHeight="1"/>
    <row r="26" ht="22" customHeight="1"/>
    <row r="27" ht="22" customHeight="1"/>
    <row r="28" ht="22" customHeight="1">
      <c r="A28" s="24" t="inlineStr">
        <is>
          <t>05  PAGAMENTOS
Valores, reembolsos e documentos</t>
        </is>
      </c>
      <c r="D28" s="22" t="inlineStr">
        <is>
          <t>06  INFORMES
Checklist de documentos</t>
        </is>
      </c>
      <c r="G28" s="25" t="inlineStr">
        <is>
          <t>07  NOTAS
Prazos, prioridades e alertas</t>
        </is>
      </c>
      <c r="J28" s="21" t="inlineStr">
        <is>
          <t>08  GUIA
Uso, privacidade e validação</t>
        </is>
      </c>
    </row>
    <row r="29" ht="22" customHeight="1"/>
    <row r="30" ht="22" customHeight="1"/>
    <row r="31" ht="22" customHeight="1"/>
    <row r="32" ht="22" customHeight="1"/>
    <row r="33" ht="22" customHeight="1">
      <c r="A33" s="8" t="inlineStr">
        <is>
          <t>RESUMO DE REVISÃO</t>
        </is>
      </c>
    </row>
    <row r="34" ht="22" customHeight="1"/>
    <row r="35" ht="22" customHeight="1">
      <c r="A35" s="26" t="inlineStr">
        <is>
          <t>Cadastro do titular</t>
        </is>
      </c>
      <c r="C35" s="27" t="str">
        <f>IF(COUNTA(Titular!$C$8:$C$20)&gt;=10,"Pronto","Revisar")</f>
        <v>Pronto</v>
      </c>
    </row>
    <row r="36" ht="22" customHeight="1"/>
    <row r="37" ht="22" customHeight="1">
      <c r="A37" s="26" t="inlineStr">
        <is>
          <t>Informes</t>
        </is>
      </c>
      <c r="C37" s="27" t="str">
        <f>COUNTIF(Informes!$H$9:$H$38,"Conferido")&amp;" de "&amp;COUNTIF(Informes!$A$9:$A$38,"&lt;&gt;")&amp;" conferidos"</f>
        <v>5 de 8 conferidos</v>
      </c>
    </row>
    <row r="38" ht="22" customHeight="1"/>
    <row r="39" ht="22" customHeight="1">
      <c r="A39" s="26" t="inlineStr">
        <is>
          <t>Notas</t>
        </is>
      </c>
      <c r="C39" s="27" t="str">
        <f>COUNTIFS(Notas!$A$9:$A$38,"&lt;&gt;",Notas!$G$9:$G$38,"&lt;&gt;Concluída")&amp;" notas abertas"</f>
        <v>2 notas abertas</v>
      </c>
    </row>
    <row r="40" ht="22" customHeight="1"/>
    <row r="41" ht="22" customHeight="1">
      <c r="A41" s="26" t="inlineStr">
        <is>
          <t>Documentos</t>
        </is>
      </c>
      <c r="C41" s="27" t="str">
        <f>IF(COUNTIF(Informes!$H$9:$H$38,"Pendente")=0,"Sem documentos pendentes",COUNTIF(Informes!$H$9:$H$38,"Pendente")&amp;" documento(s) pendente(s)")</f>
        <v>1 documento(s) pendente(s)</v>
      </c>
    </row>
    <row r="42" ht="22" customHeight="1"/>
    <row r="43" ht="22" customHeight="1">
      <c r="A43" s="26" t="inlineStr">
        <is>
          <t>Próxima ação</t>
        </is>
      </c>
      <c r="C43" s="27" t="str">
        <f>IF(G15=0,"Pronto para revisão final","Revise as pendências")</f>
        <v>Revise as pendências</v>
      </c>
    </row>
    <row r="44" ht="22" customHeight="1"/>
    <row r="45" ht="22" customHeight="1"/>
    <row r="46" ht="22" customHeight="1">
      <c r="A46" s="8" t="inlineStr">
        <is>
          <t>LINKS OFICIAIS — ABREM NO NAVEGADOR</t>
        </is>
      </c>
    </row>
    <row r="47" ht="22" customHeight="1">
      <c r="A47" s="28" t="inlineStr">
        <is>
          <t>MEU IMPOSTO DE RENDA</t>
        </is>
      </c>
      <c r="E47" s="28" t="inlineStr">
        <is>
          <t>PORTAL e-CAC</t>
        </is>
      </c>
      <c r="I47" s="28" t="inlineStr">
        <is>
          <t>PORTAL GOV.BR</t>
        </is>
      </c>
    </row>
    <row r="48" ht="22" customHeight="1"/>
    <row r="49" ht="22" customHeight="1"/>
    <row r="50" ht="22" customHeight="1">
      <c r="A50" s="29" t="inlineStr">
        <is>
          <t>Autoria: 0Barone (@gabrielnasciimentoleandro-arch) • Arquivo demonstrativo com dados fictícios • Não substitui o programa oficial nem orientação profissional.</t>
        </is>
      </c>
    </row>
    <row r="51" ht="22" customHeight="1"/>
  </sheetData>
  <mergeCells count="53">
    <mergeCell ref="E6:F7"/>
    <mergeCell ref="I1:L1"/>
    <mergeCell ref="C39:F39"/>
    <mergeCell ref="G6:H7"/>
    <mergeCell ref="G10:I12"/>
    <mergeCell ref="A19:L20"/>
    <mergeCell ref="A46:L46"/>
    <mergeCell ref="D23:F26"/>
    <mergeCell ref="A18:L18"/>
    <mergeCell ref="A1:H1"/>
    <mergeCell ref="A3:L3"/>
    <mergeCell ref="A28:C31"/>
    <mergeCell ref="A15:C16"/>
    <mergeCell ref="C37:F37"/>
    <mergeCell ref="A33:F33"/>
    <mergeCell ref="G14:I14"/>
    <mergeCell ref="J23:L26"/>
    <mergeCell ref="A41:B41"/>
    <mergeCell ref="A14:C14"/>
    <mergeCell ref="A5:L5"/>
    <mergeCell ref="I47:L48"/>
    <mergeCell ref="A37:B37"/>
    <mergeCell ref="D9:F9"/>
    <mergeCell ref="A22:L22"/>
    <mergeCell ref="J15:L16"/>
    <mergeCell ref="D14:F14"/>
    <mergeCell ref="A50:L51"/>
    <mergeCell ref="C6:D7"/>
    <mergeCell ref="I6:J7"/>
    <mergeCell ref="G23:I26"/>
    <mergeCell ref="C35:F35"/>
    <mergeCell ref="K6:L7"/>
    <mergeCell ref="A47:D48"/>
    <mergeCell ref="G28:I31"/>
    <mergeCell ref="A9:C9"/>
    <mergeCell ref="G9:I9"/>
    <mergeCell ref="J28:L31"/>
    <mergeCell ref="A10:C12"/>
    <mergeCell ref="C41:F41"/>
    <mergeCell ref="A35:B35"/>
    <mergeCell ref="G15:I16"/>
    <mergeCell ref="D10:F12"/>
    <mergeCell ref="J14:L14"/>
    <mergeCell ref="A43:B43"/>
    <mergeCell ref="E47:H48"/>
    <mergeCell ref="D15:F16"/>
    <mergeCell ref="D28:F31"/>
    <mergeCell ref="C43:F43"/>
    <mergeCell ref="A6:B7"/>
    <mergeCell ref="A23:C26"/>
    <mergeCell ref="J9:L9"/>
    <mergeCell ref="A39:B39"/>
    <mergeCell ref="J10:L12"/>
  </mergeCells>
  <conditionalFormatting sqref="A19:L20">
    <cfRule type="dataBar" priority="1">
      <dataBar showValue="1">
        <cfvo type="num" val="0"/>
        <cfvo type="num" val="1"/>
        <color rgb="0014B8A6"/>
      </dataBar>
    </cfRule>
  </conditionalFormatting>
  <hyperlinks>
    <hyperlink ref="A2" ns1:id="rId1"/>
    <hyperlink ref="B2" ns1:id="rId2"/>
    <hyperlink ref="C2" ns1:id="rId3"/>
    <hyperlink ref="D2" ns1:id="rId4"/>
    <hyperlink ref="E2" ns1:id="rId5"/>
    <hyperlink ref="F2" ns1:id="rId6"/>
    <hyperlink ref="G2" ns1:id="rId7"/>
    <hyperlink ref="H2" ns1:id="rId8"/>
    <hyperlink ref="I2" ns1:id="rId9"/>
    <hyperlink ref="A23" ns1:id="rId10"/>
    <hyperlink ref="D23" ns1:id="rId11"/>
    <hyperlink ref="G23" ns1:id="rId12"/>
    <hyperlink ref="J23" ns1:id="rId13"/>
    <hyperlink ref="A28" ns1:id="rId14"/>
    <hyperlink ref="D28" ns1:id="rId15"/>
    <hyperlink ref="G28" ns1:id="rId16"/>
    <hyperlink ref="J28" ns1:id="rId17"/>
    <hyperlink ref="A47" ns1:id="rId18"/>
    <hyperlink ref="E47" ns1:id="rId19"/>
    <hyperlink ref="I47" ns1:id="rId20"/>
  </hyperlinks>
  <pageMargins left="0.25" right="0.25" top="0.4" bottom="0.4" header="0.5" footer="0.5"/>
  <pageSetup fitToHeight="0" fitToWidth="1"/>
  <headerFooter>
    <oddHeader/>
    <oddFooter>&amp;C&amp;8 &amp;K64748BIR Panorama • 0Barone (@gabrielnasciimentoleandro-arch)</oddFooter>
    <evenHeader/>
    <evenFooter/>
    <firstHeader/>
    <firstFooter/>
  </headerFooter>
  <drawing ns1:id="rId21"/>
  <legacyDrawing ns1:id="anysvml"/>
</worksheet>
</file>

<file path=xl/worksheets/sheet2.xml><?xml version="1.0" encoding="utf-8"?>
<worksheet xmlns="http://schemas.openxmlformats.org/spreadsheetml/2006/main" xmlns:ns1="http://schemas.openxmlformats.org/officeDocument/2006/relationships">
  <sheetPr>
    <outlinePr summaryBelow="1" summaryRight="1"/>
    <pageSetUpPr fitToPage="1"/>
  </sheetPr>
  <dimension ref="A1:L29"/>
  <sheetViews>
    <sheetView showGridLines="0" zoomScale="9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4" customWidth="1" min="1" max="1"/>
    <col width="27" customWidth="1" min="2" max="2"/>
    <col width="34" customWidth="1" min="3" max="3"/>
    <col width="4" customWidth="1" min="4" max="4"/>
    <col width="5" customWidth="1" min="5" max="5"/>
    <col width="24" customWidth="1" min="6" max="6"/>
    <col width="4" customWidth="1" min="7" max="7"/>
    <col width="26" customWidth="1" min="8" max="8"/>
    <col width="22" customWidth="1" min="9" max="9"/>
    <col width="12" customWidth="1" min="10" max="10"/>
    <col width="12" customWidth="1" min="11" max="11"/>
    <col width="12" customWidth="1" min="12" max="12"/>
  </cols>
  <sheetData>
    <row r="1" ht="24" customHeight="1">
      <c r="A1" s="1" t="inlineStr">
        <is>
          <t>TITULAR</t>
        </is>
      </c>
      <c r="I1" s="2" t="inlineStr">
        <is>
          <t>PROJETO AUTORAL • DADOS FICTÍCIOS</t>
        </is>
      </c>
    </row>
    <row r="2" ht="24" customHeight="1">
      <c r="A2" s="4" t="inlineStr">
        <is>
          <t>INÍCIO</t>
        </is>
      </c>
      <c r="B2" s="3" t="inlineStr">
        <is>
          <t>TITULAR</t>
        </is>
      </c>
      <c r="C2" s="4" t="inlineStr">
        <is>
          <t>DEPENDENTES</t>
        </is>
      </c>
      <c r="D2" s="4" t="inlineStr">
        <is>
          <t>RENDIMENTOS</t>
        </is>
      </c>
      <c r="E2" s="4" t="inlineStr">
        <is>
          <t>BENS</t>
        </is>
      </c>
      <c r="F2" s="4" t="inlineStr">
        <is>
          <t>PAGAMENTOS</t>
        </is>
      </c>
      <c r="G2" s="4" t="inlineStr">
        <is>
          <t>INFORMES</t>
        </is>
      </c>
      <c r="H2" s="4" t="inlineStr">
        <is>
          <t>NOTAS</t>
        </is>
      </c>
      <c r="I2" s="4" t="inlineStr">
        <is>
          <t>GUIA</t>
        </is>
      </c>
      <c r="J2" s="5" t="n"/>
      <c r="K2" s="5" t="n"/>
      <c r="L2" s="5" t="n"/>
    </row>
    <row r="3" ht="24" customHeight="1">
      <c r="A3" s="6" t="inlineStr">
        <is>
          <t>Cadastre os dados básicos na cópia privada. Os valores deste arquivo são fictícios.</t>
        </is>
      </c>
    </row>
    <row r="5">
      <c r="B5" s="30" t="inlineStr">
        <is>
          <t>DADOS DO TITULAR</t>
        </is>
      </c>
      <c r="F5" s="30" t="inlineStr">
        <is>
          <t>CONFERÊNCIA AUTOMÁTICA</t>
        </is>
      </c>
    </row>
    <row r="8" ht="25" customHeight="1">
      <c r="B8" s="31" t="inlineStr">
        <is>
          <t>Nome completo</t>
        </is>
      </c>
      <c r="C8" s="32" t="inlineStr">
        <is>
          <t>Marina Exemplo</t>
        </is>
      </c>
      <c r="F8" s="33" t="inlineStr">
        <is>
          <t>Situação do cadastro</t>
        </is>
      </c>
      <c r="H8" s="34" t="str">
        <f>IF(COUNTA(C8:C20)&gt;=10,"Cadastro consistente","Complete os campos")</f>
        <v>Cadastro consistente</v>
      </c>
    </row>
    <row r="9" ht="25" customHeight="1">
      <c r="B9" s="31" t="inlineStr">
        <is>
          <t>CPF</t>
        </is>
      </c>
      <c r="C9" s="32" t="inlineStr">
        <is>
          <t>000.000.000-00</t>
        </is>
      </c>
    </row>
    <row r="10" ht="25" customHeight="1">
      <c r="B10" s="31" t="inlineStr">
        <is>
          <t>Data de nascimento</t>
        </is>
      </c>
      <c r="C10" s="35" t="n">
        <v>32888</v>
      </c>
    </row>
    <row r="11" ht="25" customHeight="1">
      <c r="B11" s="31" t="inlineStr">
        <is>
          <t>E-mail</t>
        </is>
      </c>
      <c r="C11" s="32" t="inlineStr">
        <is>
          <t>marina.exemplo@exemplo.invalid</t>
        </is>
      </c>
      <c r="F11" s="33" t="inlineStr">
        <is>
          <t>Preenchimento</t>
        </is>
      </c>
      <c r="H11" s="36">
        <f>COUNTA(C8:C20)/13</f>
        <v>1</v>
      </c>
    </row>
    <row r="12" ht="25" customHeight="1">
      <c r="B12" s="31" t="inlineStr">
        <is>
          <t>Telefone</t>
        </is>
      </c>
      <c r="C12" s="32" t="inlineStr">
        <is>
          <t>(00) 00000-0000</t>
        </is>
      </c>
    </row>
    <row r="13" ht="25" customHeight="1">
      <c r="B13" s="31" t="inlineStr">
        <is>
          <t>Ocupação</t>
        </is>
      </c>
      <c r="C13" s="32" t="inlineStr">
        <is>
          <t>Analista de projetos</t>
        </is>
      </c>
    </row>
    <row r="14" ht="25" customHeight="1">
      <c r="B14" s="31" t="inlineStr">
        <is>
          <t>Estado civil</t>
        </is>
      </c>
      <c r="C14" s="32" t="inlineStr">
        <is>
          <t>Solteiro(a)</t>
        </is>
      </c>
      <c r="F14" s="33" t="inlineStr">
        <is>
          <t>Declaração</t>
        </is>
      </c>
      <c r="H14" s="34" t="str">
        <f>C19&amp;" • Exercício "&amp;Início!G6</f>
        <v>Original • Exercício 2026</v>
      </c>
    </row>
    <row r="15" ht="25" customHeight="1">
      <c r="B15" s="31" t="inlineStr">
        <is>
          <t>Endereço</t>
        </is>
      </c>
      <c r="C15" s="32" t="inlineStr">
        <is>
          <t>Endereço fictício para demonstração</t>
        </is>
      </c>
    </row>
    <row r="16" ht="25" customHeight="1">
      <c r="B16" s="31" t="inlineStr">
        <is>
          <t>Cidade</t>
        </is>
      </c>
      <c r="C16" s="32" t="inlineStr">
        <is>
          <t>Cidade Exemplo</t>
        </is>
      </c>
    </row>
    <row r="17" ht="25" customHeight="1">
      <c r="B17" s="31" t="inlineStr">
        <is>
          <t>UF</t>
        </is>
      </c>
      <c r="C17" s="32" t="inlineStr">
        <is>
          <t>SP</t>
        </is>
      </c>
      <c r="F17" s="33" t="inlineStr">
        <is>
          <t>Residência</t>
        </is>
      </c>
      <c r="H17" s="34" t="str">
        <f>IF(C20="Sim","Residente no Brasil","Revisar residência")</f>
        <v>Residente no Brasil</v>
      </c>
    </row>
    <row r="18" ht="25" customHeight="1">
      <c r="B18" s="31" t="inlineStr">
        <is>
          <t>CEP</t>
        </is>
      </c>
      <c r="C18" s="32" t="inlineStr">
        <is>
          <t>00000-000</t>
        </is>
      </c>
    </row>
    <row r="19" ht="25" customHeight="1">
      <c r="B19" s="31" t="inlineStr">
        <is>
          <t>Tipo de declaração</t>
        </is>
      </c>
      <c r="C19" s="32" t="inlineStr">
        <is>
          <t>Original</t>
        </is>
      </c>
    </row>
    <row r="20" ht="25" customHeight="1">
      <c r="B20" s="31" t="inlineStr">
        <is>
          <t>Residente no Brasil?</t>
        </is>
      </c>
      <c r="C20" s="32" t="inlineStr">
        <is>
          <t>Sim</t>
        </is>
      </c>
    </row>
    <row r="21">
      <c r="F21" s="37" t="inlineStr">
        <is>
          <t>PRIVACIDADE: nunca publique uma versão preenchida com seus dados reais. Faça uma cópia privada, mantenha backup protegido e deixe no GitHub somente o modelo demonstrativo.</t>
        </is>
      </c>
    </row>
    <row r="22"/>
    <row r="23">
      <c r="B23" s="20" t="inlineStr">
        <is>
          <t>VOLTAR AO PAINEL</t>
        </is>
      </c>
    </row>
    <row r="24"/>
    <row r="25"/>
    <row r="27">
      <c r="B27" s="38" t="inlineStr">
        <is>
          <t>Os dados desta aba servem para organização e revisão. A transmissão da declaração deve ser feita somente pelos canais oficiais da Receita Federal.</t>
        </is>
      </c>
    </row>
    <row r="28"/>
    <row r="29"/>
  </sheetData>
  <mergeCells count="16">
    <mergeCell ref="F8:G9"/>
    <mergeCell ref="H17:I18"/>
    <mergeCell ref="H14:I15"/>
    <mergeCell ref="I1:L1"/>
    <mergeCell ref="B5:C5"/>
    <mergeCell ref="F21:I24"/>
    <mergeCell ref="B27:I29"/>
    <mergeCell ref="H11:I12"/>
    <mergeCell ref="F11:G12"/>
    <mergeCell ref="B23:C25"/>
    <mergeCell ref="A1:H1"/>
    <mergeCell ref="F5:I5"/>
    <mergeCell ref="A3:L3"/>
    <mergeCell ref="H8:I9"/>
    <mergeCell ref="F14:G15"/>
    <mergeCell ref="F17:G18"/>
  </mergeCells>
  <dataValidations count="5">
    <dataValidation sqref="C10" showDropDown="0" showInputMessage="0" showErrorMessage="1" allowBlank="1" errorTitle="Data inválida" error="Informe uma data entre 1900 e 2025." type="date" operator="between">
      <formula1>DATE(1900,1,1)</formula1>
      <formula2>DATE(2025,12,31)</formula2>
    </dataValidation>
    <dataValidation sqref="C14" showDropDown="0" showInputMessage="1" showErrorMessage="1" allowBlank="1" errorTitle="Valor inválido" error="Escolha uma opção da lista." promptTitle="Lista de opções" prompt="Selecione o estado civil." type="list">
      <formula1>=lista_estados_civis</formula1>
    </dataValidation>
    <dataValidation sqref="C17" showDropDown="0" showInputMessage="1" showErrorMessage="1" allowBlank="1" errorTitle="Valor inválido" error="Escolha uma opção da lista." promptTitle="Lista de opções" prompt="Selecione a unidade federativa." type="list">
      <formula1>=lista_ufs</formula1>
    </dataValidation>
    <dataValidation sqref="C19" showDropDown="0" showInputMessage="1" showErrorMessage="1" allowBlank="1" errorTitle="Valor inválido" error="Escolha uma opção da lista." promptTitle="Lista de opções" prompt="Selecione Original ou Retificadora." type="list">
      <formula1>=lista_tipos_declaracao</formula1>
    </dataValidation>
    <dataValidation sqref="C20" showDropDown="0" showInputMessage="1" showErrorMessage="1" allowBlank="1" errorTitle="Valor inválido" error="Escolha uma opção da lista." promptTitle="Lista de opções" prompt="Selecione Sim ou Não." type="list">
      <formula1>=lista_sim_nao</formula1>
    </dataValidation>
  </dataValidations>
  <hyperlinks>
    <hyperlink ref="A2" ns1:id="rId1"/>
    <hyperlink ref="B2" ns1:id="rId2"/>
    <hyperlink ref="C2" ns1:id="rId3"/>
    <hyperlink ref="D2" ns1:id="rId4"/>
    <hyperlink ref="E2" ns1:id="rId5"/>
    <hyperlink ref="F2" ns1:id="rId6"/>
    <hyperlink ref="G2" ns1:id="rId7"/>
    <hyperlink ref="H2" ns1:id="rId8"/>
    <hyperlink ref="I2" ns1:id="rId9"/>
    <hyperlink ref="B23" ns1:id="rId10"/>
  </hyperlinks>
  <pageMargins left="0.25" right="0.25" top="0.4" bottom="0.4" header="0.5" footer="0.5"/>
  <pageSetup fitToHeight="0" fitToWidth="1"/>
  <headerFooter>
    <oddHeader/>
    <oddFooter>&amp;C&amp;8 &amp;K64748BIR Panorama • 0Barone (@gabrielnasciimentoleandro-arch)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L38"/>
  <sheetViews>
    <sheetView showGridLines="0" zoomScale="80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3" customWidth="1" min="1" max="1"/>
    <col width="24" customWidth="1" min="2" max="2"/>
    <col width="19" customWidth="1" min="3" max="3"/>
    <col width="15" customWidth="1" min="4" max="4"/>
    <col width="24" customWidth="1" min="5" max="5"/>
    <col width="17" customWidth="1" min="6" max="6"/>
    <col width="14" customWidth="1" min="7" max="7"/>
    <col width="3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 ht="24" customHeight="1">
      <c r="A1" s="1" t="inlineStr">
        <is>
          <t>DEPENDENTES</t>
        </is>
      </c>
      <c r="I1" s="2" t="inlineStr">
        <is>
          <t>PROJETO AUTORAL • DADOS FICTÍCIOS</t>
        </is>
      </c>
    </row>
    <row r="2" ht="24" customHeight="1">
      <c r="A2" s="4" t="inlineStr">
        <is>
          <t>INÍCIO</t>
        </is>
      </c>
      <c r="B2" s="4" t="inlineStr">
        <is>
          <t>TITULAR</t>
        </is>
      </c>
      <c r="C2" s="3" t="inlineStr">
        <is>
          <t>DEPENDENTES</t>
        </is>
      </c>
      <c r="D2" s="4" t="inlineStr">
        <is>
          <t>RENDIMENTOS</t>
        </is>
      </c>
      <c r="E2" s="4" t="inlineStr">
        <is>
          <t>BENS</t>
        </is>
      </c>
      <c r="F2" s="4" t="inlineStr">
        <is>
          <t>PAGAMENTOS</t>
        </is>
      </c>
      <c r="G2" s="4" t="inlineStr">
        <is>
          <t>INFORMES</t>
        </is>
      </c>
      <c r="H2" s="4" t="inlineStr">
        <is>
          <t>NOTAS</t>
        </is>
      </c>
      <c r="I2" s="4" t="inlineStr">
        <is>
          <t>GUIA</t>
        </is>
      </c>
      <c r="J2" s="5" t="n"/>
      <c r="K2" s="5" t="n"/>
      <c r="L2" s="5" t="n"/>
    </row>
    <row r="3" ht="24" customHeight="1">
      <c r="A3" s="6" t="inlineStr">
        <is>
          <t>Organize os dados cadastrais e marque os itens que ainda precisam de revisão.</t>
        </is>
      </c>
    </row>
    <row r="5" ht="25" customHeight="1">
      <c r="A5" s="7" t="inlineStr">
        <is>
          <t>REGISTROS — 1 EXEMPLO(S) FICTÍCIO(S) PREENCHIDO(S)</t>
        </is>
      </c>
    </row>
    <row r="6">
      <c r="A6" s="39" t="inlineStr">
        <is>
          <t>Adicione novas linhas dentro da tabela. Células azul-claro são editáveis; colunas cinza contêm fórmulas.</t>
        </is>
      </c>
    </row>
    <row r="8" ht="36" customHeight="1">
      <c r="A8" s="40" t="inlineStr">
        <is>
          <t>ID</t>
        </is>
      </c>
      <c r="B8" s="40" t="inlineStr">
        <is>
          <t>Nome</t>
        </is>
      </c>
      <c r="C8" s="40" t="inlineStr">
        <is>
          <t>CPF</t>
        </is>
      </c>
      <c r="D8" s="40" t="inlineStr">
        <is>
          <t>Nascimento</t>
        </is>
      </c>
      <c r="E8" s="40" t="inlineStr">
        <is>
          <t>Relação</t>
        </is>
      </c>
      <c r="F8" s="40" t="inlineStr">
        <is>
          <t>Reside com titular?</t>
        </is>
      </c>
      <c r="G8" s="40" t="inlineStr">
        <is>
          <t>Status</t>
        </is>
      </c>
      <c r="H8" s="40" t="inlineStr">
        <is>
          <t>Observações</t>
        </is>
      </c>
    </row>
    <row r="9" ht="30" customHeight="1">
      <c r="A9" s="32" t="inlineStr">
        <is>
          <t>DEP-001</t>
        </is>
      </c>
      <c r="B9" s="32" t="inlineStr">
        <is>
          <t>Lucas Exemplo</t>
        </is>
      </c>
      <c r="C9" s="32" t="inlineStr">
        <is>
          <t>000.000.000-00</t>
        </is>
      </c>
      <c r="D9" s="35" t="n">
        <v>41771</v>
      </c>
      <c r="E9" s="32" t="inlineStr">
        <is>
          <t>Filho(a)</t>
        </is>
      </c>
      <c r="F9" s="32" t="inlineStr">
        <is>
          <t>Sim</t>
        </is>
      </c>
      <c r="G9" s="32" t="inlineStr">
        <is>
          <t>Revisar</t>
        </is>
      </c>
      <c r="H9" s="32" t="inlineStr">
        <is>
          <t>Dados inteiramente fictícios</t>
        </is>
      </c>
    </row>
    <row r="10" ht="30" customHeight="1">
      <c r="A10" s="32" t="n"/>
      <c r="B10" s="32" t="n"/>
      <c r="C10" s="32" t="n"/>
      <c r="D10" s="35" t="n"/>
      <c r="E10" s="32" t="n"/>
      <c r="F10" s="32" t="n"/>
      <c r="G10" s="32" t="n"/>
      <c r="H10" s="32" t="n"/>
    </row>
    <row r="11" ht="30" customHeight="1">
      <c r="A11" s="32" t="n"/>
      <c r="B11" s="32" t="n"/>
      <c r="C11" s="32" t="n"/>
      <c r="D11" s="35" t="n"/>
      <c r="E11" s="32" t="n"/>
      <c r="F11" s="32" t="n"/>
      <c r="G11" s="32" t="n"/>
      <c r="H11" s="32" t="n"/>
    </row>
    <row r="12" ht="30" customHeight="1">
      <c r="A12" s="32" t="n"/>
      <c r="B12" s="32" t="n"/>
      <c r="C12" s="32" t="n"/>
      <c r="D12" s="35" t="n"/>
      <c r="E12" s="32" t="n"/>
      <c r="F12" s="32" t="n"/>
      <c r="G12" s="32" t="n"/>
      <c r="H12" s="32" t="n"/>
    </row>
    <row r="13" ht="30" customHeight="1">
      <c r="A13" s="32" t="n"/>
      <c r="B13" s="32" t="n"/>
      <c r="C13" s="32" t="n"/>
      <c r="D13" s="35" t="n"/>
      <c r="E13" s="32" t="n"/>
      <c r="F13" s="32" t="n"/>
      <c r="G13" s="32" t="n"/>
      <c r="H13" s="32" t="n"/>
    </row>
    <row r="14" ht="30" customHeight="1">
      <c r="A14" s="32" t="n"/>
      <c r="B14" s="32" t="n"/>
      <c r="C14" s="32" t="n"/>
      <c r="D14" s="35" t="n"/>
      <c r="E14" s="32" t="n"/>
      <c r="F14" s="32" t="n"/>
      <c r="G14" s="32" t="n"/>
      <c r="H14" s="32" t="n"/>
    </row>
    <row r="15" ht="30" customHeight="1">
      <c r="A15" s="32" t="n"/>
      <c r="B15" s="32" t="n"/>
      <c r="C15" s="32" t="n"/>
      <c r="D15" s="35" t="n"/>
      <c r="E15" s="32" t="n"/>
      <c r="F15" s="32" t="n"/>
      <c r="G15" s="32" t="n"/>
      <c r="H15" s="32" t="n"/>
    </row>
    <row r="16" ht="30" customHeight="1">
      <c r="A16" s="32" t="n"/>
      <c r="B16" s="32" t="n"/>
      <c r="C16" s="32" t="n"/>
      <c r="D16" s="35" t="n"/>
      <c r="E16" s="32" t="n"/>
      <c r="F16" s="32" t="n"/>
      <c r="G16" s="32" t="n"/>
      <c r="H16" s="32" t="n"/>
    </row>
    <row r="17" ht="30" customHeight="1">
      <c r="A17" s="32" t="n"/>
      <c r="B17" s="32" t="n"/>
      <c r="C17" s="32" t="n"/>
      <c r="D17" s="35" t="n"/>
      <c r="E17" s="32" t="n"/>
      <c r="F17" s="32" t="n"/>
      <c r="G17" s="32" t="n"/>
      <c r="H17" s="32" t="n"/>
    </row>
    <row r="18" ht="30" customHeight="1">
      <c r="A18" s="32" t="n"/>
      <c r="B18" s="32" t="n"/>
      <c r="C18" s="32" t="n"/>
      <c r="D18" s="35" t="n"/>
      <c r="E18" s="32" t="n"/>
      <c r="F18" s="32" t="n"/>
      <c r="G18" s="32" t="n"/>
      <c r="H18" s="32" t="n"/>
    </row>
    <row r="19" ht="30" customHeight="1">
      <c r="A19" s="32" t="n"/>
      <c r="B19" s="32" t="n"/>
      <c r="C19" s="32" t="n"/>
      <c r="D19" s="35" t="n"/>
      <c r="E19" s="32" t="n"/>
      <c r="F19" s="32" t="n"/>
      <c r="G19" s="32" t="n"/>
      <c r="H19" s="32" t="n"/>
    </row>
    <row r="20" ht="30" customHeight="1">
      <c r="A20" s="32" t="n"/>
      <c r="B20" s="32" t="n"/>
      <c r="C20" s="32" t="n"/>
      <c r="D20" s="35" t="n"/>
      <c r="E20" s="32" t="n"/>
      <c r="F20" s="32" t="n"/>
      <c r="G20" s="32" t="n"/>
      <c r="H20" s="32" t="n"/>
    </row>
    <row r="21" ht="30" customHeight="1">
      <c r="A21" s="32" t="n"/>
      <c r="B21" s="32" t="n"/>
      <c r="C21" s="32" t="n"/>
      <c r="D21" s="35" t="n"/>
      <c r="E21" s="32" t="n"/>
      <c r="F21" s="32" t="n"/>
      <c r="G21" s="32" t="n"/>
      <c r="H21" s="32" t="n"/>
    </row>
    <row r="22" ht="30" customHeight="1">
      <c r="A22" s="32" t="n"/>
      <c r="B22" s="32" t="n"/>
      <c r="C22" s="32" t="n"/>
      <c r="D22" s="35" t="n"/>
      <c r="E22" s="32" t="n"/>
      <c r="F22" s="32" t="n"/>
      <c r="G22" s="32" t="n"/>
      <c r="H22" s="32" t="n"/>
    </row>
    <row r="23" ht="30" customHeight="1">
      <c r="A23" s="32" t="n"/>
      <c r="B23" s="32" t="n"/>
      <c r="C23" s="32" t="n"/>
      <c r="D23" s="35" t="n"/>
      <c r="E23" s="32" t="n"/>
      <c r="F23" s="32" t="n"/>
      <c r="G23" s="32" t="n"/>
      <c r="H23" s="32" t="n"/>
    </row>
    <row r="24" ht="30" customHeight="1">
      <c r="A24" s="32" t="n"/>
      <c r="B24" s="32" t="n"/>
      <c r="C24" s="32" t="n"/>
      <c r="D24" s="35" t="n"/>
      <c r="E24" s="32" t="n"/>
      <c r="F24" s="32" t="n"/>
      <c r="G24" s="32" t="n"/>
      <c r="H24" s="32" t="n"/>
    </row>
    <row r="25" ht="30" customHeight="1">
      <c r="A25" s="32" t="n"/>
      <c r="B25" s="32" t="n"/>
      <c r="C25" s="32" t="n"/>
      <c r="D25" s="35" t="n"/>
      <c r="E25" s="32" t="n"/>
      <c r="F25" s="32" t="n"/>
      <c r="G25" s="32" t="n"/>
      <c r="H25" s="32" t="n"/>
    </row>
    <row r="26" ht="30" customHeight="1">
      <c r="A26" s="32" t="n"/>
      <c r="B26" s="32" t="n"/>
      <c r="C26" s="32" t="n"/>
      <c r="D26" s="35" t="n"/>
      <c r="E26" s="32" t="n"/>
      <c r="F26" s="32" t="n"/>
      <c r="G26" s="32" t="n"/>
      <c r="H26" s="32" t="n"/>
    </row>
    <row r="27" ht="30" customHeight="1">
      <c r="A27" s="32" t="n"/>
      <c r="B27" s="32" t="n"/>
      <c r="C27" s="32" t="n"/>
      <c r="D27" s="35" t="n"/>
      <c r="E27" s="32" t="n"/>
      <c r="F27" s="32" t="n"/>
      <c r="G27" s="32" t="n"/>
      <c r="H27" s="32" t="n"/>
    </row>
    <row r="28" ht="30" customHeight="1">
      <c r="A28" s="32" t="n"/>
      <c r="B28" s="32" t="n"/>
      <c r="C28" s="32" t="n"/>
      <c r="D28" s="35" t="n"/>
      <c r="E28" s="32" t="n"/>
      <c r="F28" s="32" t="n"/>
      <c r="G28" s="32" t="n"/>
      <c r="H28" s="32" t="n"/>
    </row>
    <row r="29" ht="30" customHeight="1">
      <c r="A29" s="32" t="n"/>
      <c r="B29" s="32" t="n"/>
      <c r="C29" s="32" t="n"/>
      <c r="D29" s="35" t="n"/>
      <c r="E29" s="32" t="n"/>
      <c r="F29" s="32" t="n"/>
      <c r="G29" s="32" t="n"/>
      <c r="H29" s="32" t="n"/>
    </row>
    <row r="30" ht="30" customHeight="1">
      <c r="A30" s="32" t="n"/>
      <c r="B30" s="32" t="n"/>
      <c r="C30" s="32" t="n"/>
      <c r="D30" s="35" t="n"/>
      <c r="E30" s="32" t="n"/>
      <c r="F30" s="32" t="n"/>
      <c r="G30" s="32" t="n"/>
      <c r="H30" s="32" t="n"/>
    </row>
    <row r="31" ht="30" customHeight="1">
      <c r="A31" s="32" t="n"/>
      <c r="B31" s="32" t="n"/>
      <c r="C31" s="32" t="n"/>
      <c r="D31" s="35" t="n"/>
      <c r="E31" s="32" t="n"/>
      <c r="F31" s="32" t="n"/>
      <c r="G31" s="32" t="n"/>
      <c r="H31" s="32" t="n"/>
    </row>
    <row r="32" ht="30" customHeight="1">
      <c r="A32" s="32" t="n"/>
      <c r="B32" s="32" t="n"/>
      <c r="C32" s="32" t="n"/>
      <c r="D32" s="35" t="n"/>
      <c r="E32" s="32" t="n"/>
      <c r="F32" s="32" t="n"/>
      <c r="G32" s="32" t="n"/>
      <c r="H32" s="32" t="n"/>
    </row>
    <row r="33" ht="30" customHeight="1">
      <c r="A33" s="32" t="n"/>
      <c r="B33" s="32" t="n"/>
      <c r="C33" s="32" t="n"/>
      <c r="D33" s="35" t="n"/>
      <c r="E33" s="32" t="n"/>
      <c r="F33" s="32" t="n"/>
      <c r="G33" s="32" t="n"/>
      <c r="H33" s="32" t="n"/>
    </row>
    <row r="34" ht="30" customHeight="1">
      <c r="A34" s="32" t="n"/>
      <c r="B34" s="32" t="n"/>
      <c r="C34" s="32" t="n"/>
      <c r="D34" s="35" t="n"/>
      <c r="E34" s="32" t="n"/>
      <c r="F34" s="32" t="n"/>
      <c r="G34" s="32" t="n"/>
      <c r="H34" s="32" t="n"/>
    </row>
    <row r="35" ht="30" customHeight="1">
      <c r="A35" s="32" t="n"/>
      <c r="B35" s="32" t="n"/>
      <c r="C35" s="32" t="n"/>
      <c r="D35" s="35" t="n"/>
      <c r="E35" s="32" t="n"/>
      <c r="F35" s="32" t="n"/>
      <c r="G35" s="32" t="n"/>
      <c r="H35" s="32" t="n"/>
    </row>
    <row r="36" ht="30" customHeight="1">
      <c r="A36" s="32" t="n"/>
      <c r="B36" s="32" t="n"/>
      <c r="C36" s="32" t="n"/>
      <c r="D36" s="35" t="n"/>
      <c r="E36" s="32" t="n"/>
      <c r="F36" s="32" t="n"/>
      <c r="G36" s="32" t="n"/>
      <c r="H36" s="32" t="n"/>
    </row>
    <row r="37" ht="30" customHeight="1">
      <c r="A37" s="32" t="n"/>
      <c r="B37" s="32" t="n"/>
      <c r="C37" s="32" t="n"/>
      <c r="D37" s="35" t="n"/>
      <c r="E37" s="32" t="n"/>
      <c r="F37" s="32" t="n"/>
      <c r="G37" s="32" t="n"/>
      <c r="H37" s="32" t="n"/>
    </row>
    <row r="38" ht="30" customHeight="1">
      <c r="A38" s="32" t="n"/>
      <c r="B38" s="32" t="n"/>
      <c r="C38" s="32" t="n"/>
      <c r="D38" s="35" t="n"/>
      <c r="E38" s="32" t="n"/>
      <c r="F38" s="32" t="n"/>
      <c r="G38" s="32" t="n"/>
      <c r="H38" s="32" t="n"/>
    </row>
  </sheetData>
  <autoFilter ref="A8:H38"/>
  <mergeCells count="5">
    <mergeCell ref="A1:H1"/>
    <mergeCell ref="I1:L1"/>
    <mergeCell ref="A5:H5"/>
    <mergeCell ref="A3:L3"/>
    <mergeCell ref="A6:H6"/>
  </mergeCells>
  <conditionalFormatting sqref="G9:G38">
    <cfRule type="expression" priority="1" dxfId="0">
      <formula>$G9="Completo"</formula>
    </cfRule>
    <cfRule type="expression" priority="2" dxfId="1">
      <formula>$G9="Revisar"</formula>
    </cfRule>
  </conditionalFormatting>
  <dataValidations count="4">
    <dataValidation sqref="D9:D38" showDropDown="0" showInputMessage="0" showErrorMessage="1" allowBlank="1" errorTitle="Data inválida" error="Informe uma data entre 1900 e 2025." type="date" operator="between">
      <formula1>DATE(1900,1,1)</formula1>
      <formula2>DATE(2025,12,31)</formula2>
    </dataValidation>
    <dataValidation sqref="E9:E38" showDropDown="0" showInputMessage="1" showErrorMessage="1" allowBlank="1" errorTitle="Valor inválido" error="Escolha uma opção da lista." promptTitle="Lista de opções" prompt="Selecione a relação." type="list">
      <formula1>=lista_relacoes_dependente</formula1>
    </dataValidation>
    <dataValidation sqref="F9:F38" showDropDown="0" showInputMessage="1" showErrorMessage="1" allowBlank="1" errorTitle="Valor inválido" error="Escolha uma opção da lista." promptTitle="Lista de opções" prompt="Selecione Sim ou Não." type="list">
      <formula1>=lista_sim_nao</formula1>
    </dataValidation>
    <dataValidation sqref="G9:G38" showDropDown="0" showInputMessage="1" showErrorMessage="1" allowBlank="1" errorTitle="Valor inválido" error="Escolha uma opção da lista." promptTitle="Lista de opções" prompt="Selecione o status cadastral." type="list">
      <formula1>=lista_status_cadastro</formula1>
    </dataValidation>
  </dataValidations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C2" r:id="rId3"/>
    <hyperlink xmlns:r="http://schemas.openxmlformats.org/officeDocument/2006/relationships" ref="D2" r:id="rId4"/>
    <hyperlink xmlns:r="http://schemas.openxmlformats.org/officeDocument/2006/relationships" ref="E2" r:id="rId5"/>
    <hyperlink xmlns:r="http://schemas.openxmlformats.org/officeDocument/2006/relationships" ref="F2" r:id="rId6"/>
    <hyperlink xmlns:r="http://schemas.openxmlformats.org/officeDocument/2006/relationships" ref="G2" r:id="rId7"/>
    <hyperlink xmlns:r="http://schemas.openxmlformats.org/officeDocument/2006/relationships" ref="H2" r:id="rId8"/>
    <hyperlink xmlns:r="http://schemas.openxmlformats.org/officeDocument/2006/relationships" ref="I2" r:id="rId9"/>
  </hyperlinks>
  <pageMargins left="0.25" right="0.25" top="0.4" bottom="0.4" header="0.5" footer="0.5"/>
  <pageSetup fitToHeight="0" fitToWidth="1"/>
  <headerFooter>
    <oddHeader/>
    <oddFooter>&amp;C&amp;8 &amp;K64748BIR Panorama • 0Barone (@gabrielnasciimentoleandro-arch)</oddFooter>
    <evenHeader/>
    <evenFooter/>
    <firstHeader/>
    <firstFooter/>
  </headerFooter>
  <tableParts count="1">
    <tablePart xmlns:r="http://schemas.openxmlformats.org/officeDocument/2006/relationships" r:id="rId10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L38"/>
  <sheetViews>
    <sheetView showGridLines="0" zoomScale="80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3" customWidth="1" min="1" max="1"/>
    <col width="24" customWidth="1" min="2" max="2"/>
    <col width="28" customWidth="1" min="3" max="3"/>
    <col width="20" customWidth="1" min="4" max="4"/>
    <col width="16" customWidth="1" min="5" max="5"/>
    <col width="15" customWidth="1" min="6" max="6"/>
    <col width="15" customWidth="1" min="7" max="7"/>
    <col width="28" customWidth="1" min="8" max="8"/>
    <col width="15" customWidth="1" min="9" max="9"/>
    <col width="30" customWidth="1" min="10" max="10"/>
    <col width="14" customWidth="1" min="11" max="11"/>
    <col width="14" customWidth="1" min="12" max="12"/>
  </cols>
  <sheetData>
    <row r="1" ht="24" customHeight="1">
      <c r="A1" s="1" t="inlineStr">
        <is>
          <t>RENDIMENTOS</t>
        </is>
      </c>
      <c r="I1" s="2" t="inlineStr">
        <is>
          <t>PROJETO AUTORAL • DADOS FICTÍCIOS</t>
        </is>
      </c>
    </row>
    <row r="2" ht="24" customHeight="1">
      <c r="A2" s="4" t="inlineStr">
        <is>
          <t>INÍCIO</t>
        </is>
      </c>
      <c r="B2" s="4" t="inlineStr">
        <is>
          <t>TITULAR</t>
        </is>
      </c>
      <c r="C2" s="4" t="inlineStr">
        <is>
          <t>DEPENDENTES</t>
        </is>
      </c>
      <c r="D2" s="3" t="inlineStr">
        <is>
          <t>RENDIMENTOS</t>
        </is>
      </c>
      <c r="E2" s="4" t="inlineStr">
        <is>
          <t>BENS</t>
        </is>
      </c>
      <c r="F2" s="4" t="inlineStr">
        <is>
          <t>PAGAMENTOS</t>
        </is>
      </c>
      <c r="G2" s="4" t="inlineStr">
        <is>
          <t>INFORMES</t>
        </is>
      </c>
      <c r="H2" s="4" t="inlineStr">
        <is>
          <t>NOTAS</t>
        </is>
      </c>
      <c r="I2" s="4" t="inlineStr">
        <is>
          <t>GUIA</t>
        </is>
      </c>
      <c r="J2" s="5" t="n"/>
      <c r="K2" s="5" t="n"/>
      <c r="L2" s="5" t="n"/>
    </row>
    <row r="3" ht="24" customHeight="1">
      <c r="A3" s="6" t="inlineStr">
        <is>
          <t>Centralize fontes pagadoras, valores e comprovantes sem calcular o imposto devido.</t>
        </is>
      </c>
    </row>
    <row r="5" ht="25" customHeight="1">
      <c r="A5" s="7" t="inlineStr">
        <is>
          <t>REGISTROS — 4 EXEMPLO(S) FICTÍCIO(S) PREENCHIDO(S)</t>
        </is>
      </c>
    </row>
    <row r="6">
      <c r="A6" s="39" t="inlineStr">
        <is>
          <t>Adicione novas linhas dentro da tabela. Células azul-claro são editáveis; colunas cinza contêm fórmulas.</t>
        </is>
      </c>
    </row>
    <row r="8" ht="36" customHeight="1">
      <c r="A8" s="40" t="inlineStr">
        <is>
          <t>ID</t>
        </is>
      </c>
      <c r="B8" s="40" t="inlineStr">
        <is>
          <t>Categoria</t>
        </is>
      </c>
      <c r="C8" s="40" t="inlineStr">
        <is>
          <t>Fonte pagadora</t>
        </is>
      </c>
      <c r="D8" s="40" t="inlineStr">
        <is>
          <t>CPF/CNPJ</t>
        </is>
      </c>
      <c r="E8" s="40" t="inlineStr">
        <is>
          <t>Valor bruto</t>
        </is>
      </c>
      <c r="F8" s="40" t="inlineStr">
        <is>
          <t>IRRF</t>
        </is>
      </c>
      <c r="G8" s="40" t="inlineStr">
        <is>
          <t>INSS</t>
        </is>
      </c>
      <c r="H8" s="40" t="inlineStr">
        <is>
          <t>Documento</t>
        </is>
      </c>
      <c r="I8" s="40" t="inlineStr">
        <is>
          <t>Status</t>
        </is>
      </c>
      <c r="J8" s="40" t="inlineStr">
        <is>
          <t>Observações</t>
        </is>
      </c>
    </row>
    <row r="9" ht="30" customHeight="1">
      <c r="A9" s="32" t="inlineStr">
        <is>
          <t>REN-001</t>
        </is>
      </c>
      <c r="B9" s="32" t="inlineStr">
        <is>
          <t>Trabalho assalariado</t>
        </is>
      </c>
      <c r="C9" s="32" t="inlineStr">
        <is>
          <t>Empresa Horizonte Ltda.</t>
        </is>
      </c>
      <c r="D9" s="32" t="inlineStr">
        <is>
          <t>00.000.000/0001-00</t>
        </is>
      </c>
      <c r="E9" s="41" t="n">
        <v>84000</v>
      </c>
      <c r="F9" s="41" t="n">
        <v>7800</v>
      </c>
      <c r="G9" s="41" t="n">
        <v>6300</v>
      </c>
      <c r="H9" s="32" t="inlineStr">
        <is>
          <t>informe_empresa_2025.pdf</t>
        </is>
      </c>
      <c r="I9" s="32" t="inlineStr">
        <is>
          <t>Conferido</t>
        </is>
      </c>
      <c r="J9" s="32" t="inlineStr">
        <is>
          <t>Exemplo fictício</t>
        </is>
      </c>
    </row>
    <row r="10" ht="30" customHeight="1">
      <c r="A10" s="32" t="inlineStr">
        <is>
          <t>REN-002</t>
        </is>
      </c>
      <c r="B10" s="32" t="inlineStr">
        <is>
          <t>Rendimentos isentos</t>
        </is>
      </c>
      <c r="C10" s="32" t="inlineStr">
        <is>
          <t>Banco Aurora S.A.</t>
        </is>
      </c>
      <c r="D10" s="32" t="inlineStr">
        <is>
          <t>00.000.000/0002-00</t>
        </is>
      </c>
      <c r="E10" s="41" t="n">
        <v>1650.35</v>
      </c>
      <c r="F10" s="41" t="n">
        <v>0</v>
      </c>
      <c r="G10" s="41" t="n">
        <v>0</v>
      </c>
      <c r="H10" s="32" t="inlineStr">
        <is>
          <t>informe_banco_2025.pdf</t>
        </is>
      </c>
      <c r="I10" s="32" t="inlineStr">
        <is>
          <t>Conferido</t>
        </is>
      </c>
      <c r="J10" s="32" t="inlineStr">
        <is>
          <t>Poupança — exemplo</t>
        </is>
      </c>
    </row>
    <row r="11" ht="30" customHeight="1">
      <c r="A11" s="32" t="inlineStr">
        <is>
          <t>REN-003</t>
        </is>
      </c>
      <c r="B11" s="32" t="inlineStr">
        <is>
          <t>Tributação exclusiva</t>
        </is>
      </c>
      <c r="C11" s="32" t="inlineStr">
        <is>
          <t>Corretora Modelo S.A.</t>
        </is>
      </c>
      <c r="D11" s="32" t="inlineStr">
        <is>
          <t>00.000.000/0003-00</t>
        </is>
      </c>
      <c r="E11" s="41" t="n">
        <v>980.4</v>
      </c>
      <c r="F11" s="41" t="n">
        <v>0</v>
      </c>
      <c r="G11" s="41" t="n">
        <v>0</v>
      </c>
      <c r="H11" s="32" t="inlineStr">
        <is>
          <t>informe_corretora_2025.pdf</t>
        </is>
      </c>
      <c r="I11" s="32" t="inlineStr">
        <is>
          <t>Recebido</t>
        </is>
      </c>
      <c r="J11" s="32" t="inlineStr">
        <is>
          <t>Conferir classificação</t>
        </is>
      </c>
    </row>
    <row r="12" ht="30" customHeight="1">
      <c r="A12" s="32" t="inlineStr">
        <is>
          <t>REN-004</t>
        </is>
      </c>
      <c r="B12" s="32" t="inlineStr">
        <is>
          <t>Trabalho autônomo</t>
        </is>
      </c>
      <c r="C12" s="32" t="inlineStr">
        <is>
          <t>Clientes diversos</t>
        </is>
      </c>
      <c r="D12" s="32" t="inlineStr">
        <is>
          <t>N/A</t>
        </is>
      </c>
      <c r="E12" s="41" t="n">
        <v>7200</v>
      </c>
      <c r="F12" s="41" t="n">
        <v>0</v>
      </c>
      <c r="G12" s="41" t="n">
        <v>960</v>
      </c>
      <c r="H12" s="32" t="inlineStr">
        <is>
          <t>livro_caixa_exemplo.xlsx</t>
        </is>
      </c>
      <c r="I12" s="32" t="inlineStr">
        <is>
          <t>Pendente</t>
        </is>
      </c>
      <c r="J12" s="32" t="inlineStr">
        <is>
          <t>Consolidar recibos</t>
        </is>
      </c>
    </row>
    <row r="13" ht="30" customHeight="1">
      <c r="A13" s="32" t="n"/>
      <c r="B13" s="32" t="n"/>
      <c r="C13" s="32" t="n"/>
      <c r="D13" s="32" t="n"/>
      <c r="E13" s="41" t="n"/>
      <c r="F13" s="41" t="n"/>
      <c r="G13" s="41" t="n"/>
      <c r="H13" s="32" t="n"/>
      <c r="I13" s="32" t="n"/>
      <c r="J13" s="32" t="n"/>
    </row>
    <row r="14" ht="30" customHeight="1">
      <c r="A14" s="32" t="n"/>
      <c r="B14" s="32" t="n"/>
      <c r="C14" s="32" t="n"/>
      <c r="D14" s="32" t="n"/>
      <c r="E14" s="41" t="n"/>
      <c r="F14" s="41" t="n"/>
      <c r="G14" s="41" t="n"/>
      <c r="H14" s="32" t="n"/>
      <c r="I14" s="32" t="n"/>
      <c r="J14" s="32" t="n"/>
    </row>
    <row r="15" ht="30" customHeight="1">
      <c r="A15" s="32" t="n"/>
      <c r="B15" s="32" t="n"/>
      <c r="C15" s="32" t="n"/>
      <c r="D15" s="32" t="n"/>
      <c r="E15" s="41" t="n"/>
      <c r="F15" s="41" t="n"/>
      <c r="G15" s="41" t="n"/>
      <c r="H15" s="32" t="n"/>
      <c r="I15" s="32" t="n"/>
      <c r="J15" s="32" t="n"/>
    </row>
    <row r="16" ht="30" customHeight="1">
      <c r="A16" s="32" t="n"/>
      <c r="B16" s="32" t="n"/>
      <c r="C16" s="32" t="n"/>
      <c r="D16" s="32" t="n"/>
      <c r="E16" s="41" t="n"/>
      <c r="F16" s="41" t="n"/>
      <c r="G16" s="41" t="n"/>
      <c r="H16" s="32" t="n"/>
      <c r="I16" s="32" t="n"/>
      <c r="J16" s="32" t="n"/>
    </row>
    <row r="17" ht="30" customHeight="1">
      <c r="A17" s="32" t="n"/>
      <c r="B17" s="32" t="n"/>
      <c r="C17" s="32" t="n"/>
      <c r="D17" s="32" t="n"/>
      <c r="E17" s="41" t="n"/>
      <c r="F17" s="41" t="n"/>
      <c r="G17" s="41" t="n"/>
      <c r="H17" s="32" t="n"/>
      <c r="I17" s="32" t="n"/>
      <c r="J17" s="32" t="n"/>
    </row>
    <row r="18" ht="30" customHeight="1">
      <c r="A18" s="32" t="n"/>
      <c r="B18" s="32" t="n"/>
      <c r="C18" s="32" t="n"/>
      <c r="D18" s="32" t="n"/>
      <c r="E18" s="41" t="n"/>
      <c r="F18" s="41" t="n"/>
      <c r="G18" s="41" t="n"/>
      <c r="H18" s="32" t="n"/>
      <c r="I18" s="32" t="n"/>
      <c r="J18" s="32" t="n"/>
    </row>
    <row r="19" ht="30" customHeight="1">
      <c r="A19" s="32" t="n"/>
      <c r="B19" s="32" t="n"/>
      <c r="C19" s="32" t="n"/>
      <c r="D19" s="32" t="n"/>
      <c r="E19" s="41" t="n"/>
      <c r="F19" s="41" t="n"/>
      <c r="G19" s="41" t="n"/>
      <c r="H19" s="32" t="n"/>
      <c r="I19" s="32" t="n"/>
      <c r="J19" s="32" t="n"/>
    </row>
    <row r="20" ht="30" customHeight="1">
      <c r="A20" s="32" t="n"/>
      <c r="B20" s="32" t="n"/>
      <c r="C20" s="32" t="n"/>
      <c r="D20" s="32" t="n"/>
      <c r="E20" s="41" t="n"/>
      <c r="F20" s="41" t="n"/>
      <c r="G20" s="41" t="n"/>
      <c r="H20" s="32" t="n"/>
      <c r="I20" s="32" t="n"/>
      <c r="J20" s="32" t="n"/>
    </row>
    <row r="21" ht="30" customHeight="1">
      <c r="A21" s="32" t="n"/>
      <c r="B21" s="32" t="n"/>
      <c r="C21" s="32" t="n"/>
      <c r="D21" s="32" t="n"/>
      <c r="E21" s="41" t="n"/>
      <c r="F21" s="41" t="n"/>
      <c r="G21" s="41" t="n"/>
      <c r="H21" s="32" t="n"/>
      <c r="I21" s="32" t="n"/>
      <c r="J21" s="32" t="n"/>
    </row>
    <row r="22" ht="30" customHeight="1">
      <c r="A22" s="32" t="n"/>
      <c r="B22" s="32" t="n"/>
      <c r="C22" s="32" t="n"/>
      <c r="D22" s="32" t="n"/>
      <c r="E22" s="41" t="n"/>
      <c r="F22" s="41" t="n"/>
      <c r="G22" s="41" t="n"/>
      <c r="H22" s="32" t="n"/>
      <c r="I22" s="32" t="n"/>
      <c r="J22" s="32" t="n"/>
    </row>
    <row r="23" ht="30" customHeight="1">
      <c r="A23" s="32" t="n"/>
      <c r="B23" s="32" t="n"/>
      <c r="C23" s="32" t="n"/>
      <c r="D23" s="32" t="n"/>
      <c r="E23" s="41" t="n"/>
      <c r="F23" s="41" t="n"/>
      <c r="G23" s="41" t="n"/>
      <c r="H23" s="32" t="n"/>
      <c r="I23" s="32" t="n"/>
      <c r="J23" s="32" t="n"/>
    </row>
    <row r="24" ht="30" customHeight="1">
      <c r="A24" s="32" t="n"/>
      <c r="B24" s="32" t="n"/>
      <c r="C24" s="32" t="n"/>
      <c r="D24" s="32" t="n"/>
      <c r="E24" s="41" t="n"/>
      <c r="F24" s="41" t="n"/>
      <c r="G24" s="41" t="n"/>
      <c r="H24" s="32" t="n"/>
      <c r="I24" s="32" t="n"/>
      <c r="J24" s="32" t="n"/>
    </row>
    <row r="25" ht="30" customHeight="1">
      <c r="A25" s="32" t="n"/>
      <c r="B25" s="32" t="n"/>
      <c r="C25" s="32" t="n"/>
      <c r="D25" s="32" t="n"/>
      <c r="E25" s="41" t="n"/>
      <c r="F25" s="41" t="n"/>
      <c r="G25" s="41" t="n"/>
      <c r="H25" s="32" t="n"/>
      <c r="I25" s="32" t="n"/>
      <c r="J25" s="32" t="n"/>
    </row>
    <row r="26" ht="30" customHeight="1">
      <c r="A26" s="32" t="n"/>
      <c r="B26" s="32" t="n"/>
      <c r="C26" s="32" t="n"/>
      <c r="D26" s="32" t="n"/>
      <c r="E26" s="41" t="n"/>
      <c r="F26" s="41" t="n"/>
      <c r="G26" s="41" t="n"/>
      <c r="H26" s="32" t="n"/>
      <c r="I26" s="32" t="n"/>
      <c r="J26" s="32" t="n"/>
    </row>
    <row r="27" ht="30" customHeight="1">
      <c r="A27" s="32" t="n"/>
      <c r="B27" s="32" t="n"/>
      <c r="C27" s="32" t="n"/>
      <c r="D27" s="32" t="n"/>
      <c r="E27" s="41" t="n"/>
      <c r="F27" s="41" t="n"/>
      <c r="G27" s="41" t="n"/>
      <c r="H27" s="32" t="n"/>
      <c r="I27" s="32" t="n"/>
      <c r="J27" s="32" t="n"/>
    </row>
    <row r="28" ht="30" customHeight="1">
      <c r="A28" s="32" t="n"/>
      <c r="B28" s="32" t="n"/>
      <c r="C28" s="32" t="n"/>
      <c r="D28" s="32" t="n"/>
      <c r="E28" s="41" t="n"/>
      <c r="F28" s="41" t="n"/>
      <c r="G28" s="41" t="n"/>
      <c r="H28" s="32" t="n"/>
      <c r="I28" s="32" t="n"/>
      <c r="J28" s="32" t="n"/>
    </row>
    <row r="29" ht="30" customHeight="1">
      <c r="A29" s="32" t="n"/>
      <c r="B29" s="32" t="n"/>
      <c r="C29" s="32" t="n"/>
      <c r="D29" s="32" t="n"/>
      <c r="E29" s="41" t="n"/>
      <c r="F29" s="41" t="n"/>
      <c r="G29" s="41" t="n"/>
      <c r="H29" s="32" t="n"/>
      <c r="I29" s="32" t="n"/>
      <c r="J29" s="32" t="n"/>
    </row>
    <row r="30" ht="30" customHeight="1">
      <c r="A30" s="32" t="n"/>
      <c r="B30" s="32" t="n"/>
      <c r="C30" s="32" t="n"/>
      <c r="D30" s="32" t="n"/>
      <c r="E30" s="41" t="n"/>
      <c r="F30" s="41" t="n"/>
      <c r="G30" s="41" t="n"/>
      <c r="H30" s="32" t="n"/>
      <c r="I30" s="32" t="n"/>
      <c r="J30" s="32" t="n"/>
    </row>
    <row r="31" ht="30" customHeight="1">
      <c r="A31" s="32" t="n"/>
      <c r="B31" s="32" t="n"/>
      <c r="C31" s="32" t="n"/>
      <c r="D31" s="32" t="n"/>
      <c r="E31" s="41" t="n"/>
      <c r="F31" s="41" t="n"/>
      <c r="G31" s="41" t="n"/>
      <c r="H31" s="32" t="n"/>
      <c r="I31" s="32" t="n"/>
      <c r="J31" s="32" t="n"/>
    </row>
    <row r="32" ht="30" customHeight="1">
      <c r="A32" s="32" t="n"/>
      <c r="B32" s="32" t="n"/>
      <c r="C32" s="32" t="n"/>
      <c r="D32" s="32" t="n"/>
      <c r="E32" s="41" t="n"/>
      <c r="F32" s="41" t="n"/>
      <c r="G32" s="41" t="n"/>
      <c r="H32" s="32" t="n"/>
      <c r="I32" s="32" t="n"/>
      <c r="J32" s="32" t="n"/>
    </row>
    <row r="33" ht="30" customHeight="1">
      <c r="A33" s="32" t="n"/>
      <c r="B33" s="32" t="n"/>
      <c r="C33" s="32" t="n"/>
      <c r="D33" s="32" t="n"/>
      <c r="E33" s="41" t="n"/>
      <c r="F33" s="41" t="n"/>
      <c r="G33" s="41" t="n"/>
      <c r="H33" s="32" t="n"/>
      <c r="I33" s="32" t="n"/>
      <c r="J33" s="32" t="n"/>
    </row>
    <row r="34" ht="30" customHeight="1">
      <c r="A34" s="32" t="n"/>
      <c r="B34" s="32" t="n"/>
      <c r="C34" s="32" t="n"/>
      <c r="D34" s="32" t="n"/>
      <c r="E34" s="41" t="n"/>
      <c r="F34" s="41" t="n"/>
      <c r="G34" s="41" t="n"/>
      <c r="H34" s="32" t="n"/>
      <c r="I34" s="32" t="n"/>
      <c r="J34" s="32" t="n"/>
    </row>
    <row r="35" ht="30" customHeight="1">
      <c r="A35" s="32" t="n"/>
      <c r="B35" s="32" t="n"/>
      <c r="C35" s="32" t="n"/>
      <c r="D35" s="32" t="n"/>
      <c r="E35" s="41" t="n"/>
      <c r="F35" s="41" t="n"/>
      <c r="G35" s="41" t="n"/>
      <c r="H35" s="32" t="n"/>
      <c r="I35" s="32" t="n"/>
      <c r="J35" s="32" t="n"/>
    </row>
    <row r="36" ht="30" customHeight="1">
      <c r="A36" s="32" t="n"/>
      <c r="B36" s="32" t="n"/>
      <c r="C36" s="32" t="n"/>
      <c r="D36" s="32" t="n"/>
      <c r="E36" s="41" t="n"/>
      <c r="F36" s="41" t="n"/>
      <c r="G36" s="41" t="n"/>
      <c r="H36" s="32" t="n"/>
      <c r="I36" s="32" t="n"/>
      <c r="J36" s="32" t="n"/>
    </row>
    <row r="37" ht="30" customHeight="1">
      <c r="A37" s="32" t="n"/>
      <c r="B37" s="32" t="n"/>
      <c r="C37" s="32" t="n"/>
      <c r="D37" s="32" t="n"/>
      <c r="E37" s="41" t="n"/>
      <c r="F37" s="41" t="n"/>
      <c r="G37" s="41" t="n"/>
      <c r="H37" s="32" t="n"/>
      <c r="I37" s="32" t="n"/>
      <c r="J37" s="32" t="n"/>
    </row>
    <row r="38" ht="30" customHeight="1">
      <c r="A38" s="32" t="n"/>
      <c r="B38" s="32" t="n"/>
      <c r="C38" s="32" t="n"/>
      <c r="D38" s="32" t="n"/>
      <c r="E38" s="41" t="n"/>
      <c r="F38" s="41" t="n"/>
      <c r="G38" s="41" t="n"/>
      <c r="H38" s="32" t="n"/>
      <c r="I38" s="32" t="n"/>
      <c r="J38" s="32" t="n"/>
    </row>
  </sheetData>
  <autoFilter ref="A8:J38"/>
  <mergeCells count="5">
    <mergeCell ref="A5:J5"/>
    <mergeCell ref="I1:L1"/>
    <mergeCell ref="A6:J6"/>
    <mergeCell ref="A1:H1"/>
    <mergeCell ref="A3:L3"/>
  </mergeCells>
  <conditionalFormatting sqref="I9:I38">
    <cfRule type="expression" priority="1" dxfId="2">
      <formula>$I9="Conferido"</formula>
    </cfRule>
    <cfRule type="expression" priority="2" dxfId="3">
      <formula>$I9="Recebido"</formula>
    </cfRule>
    <cfRule type="expression" priority="3" dxfId="4">
      <formula>$I9="Pendente"</formula>
    </cfRule>
    <cfRule type="expression" priority="4" dxfId="5">
      <formula>$I9="Não se aplica"</formula>
    </cfRule>
  </conditionalFormatting>
  <dataValidations count="5">
    <dataValidation sqref="B9:B38" showDropDown="0" showInputMessage="1" showErrorMessage="1" allowBlank="1" errorTitle="Valor inválido" error="Escolha uma opção da lista." promptTitle="Lista de opções" prompt="Selecione a categoria do rendimento." type="list">
      <formula1>=lista_categorias_rendimento</formula1>
    </dataValidation>
    <dataValidation sqref="I9:I38" showDropDown="0" showInputMessage="1" showErrorMessage="1" allowBlank="1" errorTitle="Valor inválido" error="Escolha uma opção da lista." promptTitle="Lista de opções" prompt="Selecione o andamento da conferência." type="list">
      <formula1>=lista_status_documento</formula1>
    </dataValidation>
    <dataValidation sqref="E9:E38" showDropDown="0" showInputMessage="0" showErrorMessage="1" allowBlank="1" errorTitle="Valor inválido" error="Digite um valor igual ou maior que zero." type="decimal" operator="greaterThanOrEqual">
      <formula1>0</formula1>
    </dataValidation>
    <dataValidation sqref="F9:F38" showDropDown="0" showInputMessage="0" showErrorMessage="1" allowBlank="1" errorTitle="Valor inválido" error="Digite um valor igual ou maior que zero." type="decimal" operator="greaterThanOrEqual">
      <formula1>0</formula1>
    </dataValidation>
    <dataValidation sqref="G9:G38" showDropDown="0" showInputMessage="0" showErrorMessage="1" allowBlank="1" errorTitle="Valor inválido" error="Digite um valor igual ou maior que zero." type="decimal" operator="greaterThanOrEqual">
      <formula1>0</formula1>
    </dataValidation>
  </dataValidations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C2" r:id="rId3"/>
    <hyperlink xmlns:r="http://schemas.openxmlformats.org/officeDocument/2006/relationships" ref="D2" r:id="rId4"/>
    <hyperlink xmlns:r="http://schemas.openxmlformats.org/officeDocument/2006/relationships" ref="E2" r:id="rId5"/>
    <hyperlink xmlns:r="http://schemas.openxmlformats.org/officeDocument/2006/relationships" ref="F2" r:id="rId6"/>
    <hyperlink xmlns:r="http://schemas.openxmlformats.org/officeDocument/2006/relationships" ref="G2" r:id="rId7"/>
    <hyperlink xmlns:r="http://schemas.openxmlformats.org/officeDocument/2006/relationships" ref="H2" r:id="rId8"/>
    <hyperlink xmlns:r="http://schemas.openxmlformats.org/officeDocument/2006/relationships" ref="I2" r:id="rId9"/>
  </hyperlinks>
  <pageMargins left="0.25" right="0.25" top="0.4" bottom="0.4" header="0.5" footer="0.5"/>
  <pageSetup fitToHeight="0" fitToWidth="1"/>
  <headerFooter>
    <oddHeader/>
    <oddFooter>&amp;C&amp;8 &amp;K64748BIR Panorama • 0Barone (@gabrielnasciimentoleandro-arch)</oddFooter>
    <evenHeader/>
    <evenFooter/>
    <firstHeader/>
    <firstFooter/>
  </headerFooter>
  <tableParts count="1">
    <tablePart xmlns:r="http://schemas.openxmlformats.org/officeDocument/2006/relationships" r:id="rId10"/>
  </tableParts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L38"/>
  <sheetViews>
    <sheetView showGridLines="0" zoomScale="80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3" customWidth="1" min="1" max="1"/>
    <col width="25" customWidth="1" min="2" max="2"/>
    <col width="11" customWidth="1" min="3" max="3"/>
    <col width="30" customWidth="1" min="4" max="4"/>
    <col width="15" customWidth="1" min="5" max="5"/>
    <col width="15" customWidth="1" min="6" max="6"/>
    <col width="18" customWidth="1" min="7" max="7"/>
    <col width="18" customWidth="1" min="8" max="8"/>
    <col width="28" customWidth="1" min="9" max="9"/>
    <col width="15" customWidth="1" min="10" max="10"/>
    <col width="30" customWidth="1" min="11" max="11"/>
    <col width="14" customWidth="1" min="12" max="12"/>
  </cols>
  <sheetData>
    <row r="1" ht="24" customHeight="1">
      <c r="A1" s="1" t="inlineStr">
        <is>
          <t>BENS E DIREITOS</t>
        </is>
      </c>
      <c r="I1" s="2" t="inlineStr">
        <is>
          <t>PROJETO AUTORAL • DADOS FICTÍCIOS</t>
        </is>
      </c>
    </row>
    <row r="2" ht="24" customHeight="1">
      <c r="A2" s="4" t="inlineStr">
        <is>
          <t>INÍCIO</t>
        </is>
      </c>
      <c r="B2" s="4" t="inlineStr">
        <is>
          <t>TITULAR</t>
        </is>
      </c>
      <c r="C2" s="4" t="inlineStr">
        <is>
          <t>DEPENDENTES</t>
        </is>
      </c>
      <c r="D2" s="4" t="inlineStr">
        <is>
          <t>RENDIMENTOS</t>
        </is>
      </c>
      <c r="E2" s="3" t="inlineStr">
        <is>
          <t>BENS</t>
        </is>
      </c>
      <c r="F2" s="4" t="inlineStr">
        <is>
          <t>PAGAMENTOS</t>
        </is>
      </c>
      <c r="G2" s="4" t="inlineStr">
        <is>
          <t>INFORMES</t>
        </is>
      </c>
      <c r="H2" s="4" t="inlineStr">
        <is>
          <t>NOTAS</t>
        </is>
      </c>
      <c r="I2" s="4" t="inlineStr">
        <is>
          <t>GUIA</t>
        </is>
      </c>
      <c r="J2" s="5" t="n"/>
      <c r="K2" s="5" t="n"/>
      <c r="L2" s="5" t="n"/>
    </row>
    <row r="3" ht="24" customHeight="1">
      <c r="A3" s="6" t="inlineStr">
        <is>
          <t>Compare os valores declarados no ano anterior com a situação atual e mantenha o documento de origem.</t>
        </is>
      </c>
    </row>
    <row r="5" ht="25" customHeight="1">
      <c r="A5" s="7" t="inlineStr">
        <is>
          <t>REGISTROS — 4 EXEMPLO(S) FICTÍCIO(S) PREENCHIDO(S)</t>
        </is>
      </c>
    </row>
    <row r="6">
      <c r="A6" s="39" t="inlineStr">
        <is>
          <t>Adicione novas linhas dentro da tabela. Células azul-claro são editáveis; colunas cinza contêm fórmulas.</t>
        </is>
      </c>
    </row>
    <row r="8" ht="36" customHeight="1">
      <c r="A8" s="40" t="inlineStr">
        <is>
          <t>ID</t>
        </is>
      </c>
      <c r="B8" s="40" t="inlineStr">
        <is>
          <t>Grupo</t>
        </is>
      </c>
      <c r="C8" s="40" t="inlineStr">
        <is>
          <t>Código</t>
        </is>
      </c>
      <c r="D8" s="40" t="inlineStr">
        <is>
          <t>Descrição</t>
        </is>
      </c>
      <c r="E8" s="40" t="inlineStr">
        <is>
          <t>País</t>
        </is>
      </c>
      <c r="F8" s="40" t="inlineStr">
        <is>
          <t>Aquisição</t>
        </is>
      </c>
      <c r="G8" s="40" t="inlineStr">
        <is>
          <t>Situação anterior</t>
        </is>
      </c>
      <c r="H8" s="40" t="inlineStr">
        <is>
          <t>Situação atual</t>
        </is>
      </c>
      <c r="I8" s="40" t="inlineStr">
        <is>
          <t>Documento</t>
        </is>
      </c>
      <c r="J8" s="40" t="inlineStr">
        <is>
          <t>Status</t>
        </is>
      </c>
      <c r="K8" s="40" t="inlineStr">
        <is>
          <t>Observações</t>
        </is>
      </c>
    </row>
    <row r="9" ht="30" customHeight="1">
      <c r="A9" s="32" t="inlineStr">
        <is>
          <t>BEM-001</t>
        </is>
      </c>
      <c r="B9" s="32" t="inlineStr">
        <is>
          <t>Contas e depósitos</t>
        </is>
      </c>
      <c r="C9" s="32" t="inlineStr">
        <is>
          <t>06.01</t>
        </is>
      </c>
      <c r="D9" s="32" t="inlineStr">
        <is>
          <t>Conta corrente fictícia</t>
        </is>
      </c>
      <c r="E9" s="32" t="inlineStr">
        <is>
          <t>Brasil</t>
        </is>
      </c>
      <c r="F9" s="35" t="n">
        <v>44265</v>
      </c>
      <c r="G9" s="41" t="n">
        <v>4200</v>
      </c>
      <c r="H9" s="41" t="n">
        <v>6850.25</v>
      </c>
      <c r="I9" s="32" t="inlineStr">
        <is>
          <t>extrato_conta_2025.pdf</t>
        </is>
      </c>
      <c r="J9" s="32" t="inlineStr">
        <is>
          <t>Conferido</t>
        </is>
      </c>
      <c r="K9" s="32" t="inlineStr">
        <is>
          <t>Exemplo fictício</t>
        </is>
      </c>
    </row>
    <row r="10" ht="30" customHeight="1">
      <c r="A10" s="32" t="inlineStr">
        <is>
          <t>BEM-002</t>
        </is>
      </c>
      <c r="B10" s="32" t="inlineStr">
        <is>
          <t>Aplicações e investimentos</t>
        </is>
      </c>
      <c r="C10" s="32" t="inlineStr">
        <is>
          <t>04.02</t>
        </is>
      </c>
      <c r="D10" s="32" t="inlineStr">
        <is>
          <t>Aplicação de renda fixa fictícia</t>
        </is>
      </c>
      <c r="E10" s="32" t="inlineStr">
        <is>
          <t>Brasil</t>
        </is>
      </c>
      <c r="F10" s="35" t="n">
        <v>44788</v>
      </c>
      <c r="G10" s="41" t="n">
        <v>21000</v>
      </c>
      <c r="H10" s="41" t="n">
        <v>27800.5</v>
      </c>
      <c r="I10" s="32" t="inlineStr">
        <is>
          <t>informe_investimento_2025.pdf</t>
        </is>
      </c>
      <c r="J10" s="32" t="inlineStr">
        <is>
          <t>Recebido</t>
        </is>
      </c>
      <c r="K10" s="32" t="inlineStr">
        <is>
          <t>Conferir rendimentos</t>
        </is>
      </c>
    </row>
    <row r="11" ht="30" customHeight="1">
      <c r="A11" s="32" t="inlineStr">
        <is>
          <t>BEM-003</t>
        </is>
      </c>
      <c r="B11" s="32" t="inlineStr">
        <is>
          <t>Veículos</t>
        </is>
      </c>
      <c r="C11" s="32" t="inlineStr">
        <is>
          <t>02.01</t>
        </is>
      </c>
      <c r="D11" s="32" t="inlineStr">
        <is>
          <t>Veículo de demonstração</t>
        </is>
      </c>
      <c r="E11" s="32" t="inlineStr">
        <is>
          <t>Brasil</t>
        </is>
      </c>
      <c r="F11" s="35" t="n">
        <v>44002</v>
      </c>
      <c r="G11" s="41" t="n">
        <v>58000</v>
      </c>
      <c r="H11" s="41" t="n">
        <v>58000</v>
      </c>
      <c r="I11" s="32" t="inlineStr">
        <is>
          <t>documento_veiculo.pdf</t>
        </is>
      </c>
      <c r="J11" s="32" t="inlineStr">
        <is>
          <t>Conferido</t>
        </is>
      </c>
      <c r="K11" s="32" t="inlineStr">
        <is>
          <t>Custo histórico</t>
        </is>
      </c>
    </row>
    <row r="12" ht="30" customHeight="1">
      <c r="A12" s="32" t="inlineStr">
        <is>
          <t>BEM-004</t>
        </is>
      </c>
      <c r="B12" s="32" t="inlineStr">
        <is>
          <t>Imóveis</t>
        </is>
      </c>
      <c r="C12" s="32" t="inlineStr">
        <is>
          <t>01.12</t>
        </is>
      </c>
      <c r="D12" s="32" t="inlineStr">
        <is>
          <t>Apartamento fictício</t>
        </is>
      </c>
      <c r="E12" s="32" t="inlineStr">
        <is>
          <t>Brasil</t>
        </is>
      </c>
      <c r="F12" s="35" t="n">
        <v>43507</v>
      </c>
      <c r="G12" s="41" t="n">
        <v>245000</v>
      </c>
      <c r="H12" s="41" t="n">
        <v>245000</v>
      </c>
      <c r="I12" s="32" t="inlineStr">
        <is>
          <t>contrato_imovel_exemplo.pdf</t>
        </is>
      </c>
      <c r="J12" s="32" t="inlineStr">
        <is>
          <t>Conferido</t>
        </is>
      </c>
      <c r="K12" s="32" t="inlineStr">
        <is>
          <t>Custo histórico</t>
        </is>
      </c>
    </row>
    <row r="13" ht="30" customHeight="1">
      <c r="A13" s="32" t="n"/>
      <c r="B13" s="32" t="n"/>
      <c r="C13" s="32" t="n"/>
      <c r="D13" s="32" t="n"/>
      <c r="E13" s="32" t="n"/>
      <c r="F13" s="35" t="n"/>
      <c r="G13" s="41" t="n"/>
      <c r="H13" s="41" t="n"/>
      <c r="I13" s="32" t="n"/>
      <c r="J13" s="32" t="n"/>
      <c r="K13" s="32" t="n"/>
    </row>
    <row r="14" ht="30" customHeight="1">
      <c r="A14" s="32" t="n"/>
      <c r="B14" s="32" t="n"/>
      <c r="C14" s="32" t="n"/>
      <c r="D14" s="32" t="n"/>
      <c r="E14" s="32" t="n"/>
      <c r="F14" s="35" t="n"/>
      <c r="G14" s="41" t="n"/>
      <c r="H14" s="41" t="n"/>
      <c r="I14" s="32" t="n"/>
      <c r="J14" s="32" t="n"/>
      <c r="K14" s="32" t="n"/>
    </row>
    <row r="15" ht="30" customHeight="1">
      <c r="A15" s="32" t="n"/>
      <c r="B15" s="32" t="n"/>
      <c r="C15" s="32" t="n"/>
      <c r="D15" s="32" t="n"/>
      <c r="E15" s="32" t="n"/>
      <c r="F15" s="35" t="n"/>
      <c r="G15" s="41" t="n"/>
      <c r="H15" s="41" t="n"/>
      <c r="I15" s="32" t="n"/>
      <c r="J15" s="32" t="n"/>
      <c r="K15" s="32" t="n"/>
    </row>
    <row r="16" ht="30" customHeight="1">
      <c r="A16" s="32" t="n"/>
      <c r="B16" s="32" t="n"/>
      <c r="C16" s="32" t="n"/>
      <c r="D16" s="32" t="n"/>
      <c r="E16" s="32" t="n"/>
      <c r="F16" s="35" t="n"/>
      <c r="G16" s="41" t="n"/>
      <c r="H16" s="41" t="n"/>
      <c r="I16" s="32" t="n"/>
      <c r="J16" s="32" t="n"/>
      <c r="K16" s="32" t="n"/>
    </row>
    <row r="17" ht="30" customHeight="1">
      <c r="A17" s="32" t="n"/>
      <c r="B17" s="32" t="n"/>
      <c r="C17" s="32" t="n"/>
      <c r="D17" s="32" t="n"/>
      <c r="E17" s="32" t="n"/>
      <c r="F17" s="35" t="n"/>
      <c r="G17" s="41" t="n"/>
      <c r="H17" s="41" t="n"/>
      <c r="I17" s="32" t="n"/>
      <c r="J17" s="32" t="n"/>
      <c r="K17" s="32" t="n"/>
    </row>
    <row r="18" ht="30" customHeight="1">
      <c r="A18" s="32" t="n"/>
      <c r="B18" s="32" t="n"/>
      <c r="C18" s="32" t="n"/>
      <c r="D18" s="32" t="n"/>
      <c r="E18" s="32" t="n"/>
      <c r="F18" s="35" t="n"/>
      <c r="G18" s="41" t="n"/>
      <c r="H18" s="41" t="n"/>
      <c r="I18" s="32" t="n"/>
      <c r="J18" s="32" t="n"/>
      <c r="K18" s="32" t="n"/>
    </row>
    <row r="19" ht="30" customHeight="1">
      <c r="A19" s="32" t="n"/>
      <c r="B19" s="32" t="n"/>
      <c r="C19" s="32" t="n"/>
      <c r="D19" s="32" t="n"/>
      <c r="E19" s="32" t="n"/>
      <c r="F19" s="35" t="n"/>
      <c r="G19" s="41" t="n"/>
      <c r="H19" s="41" t="n"/>
      <c r="I19" s="32" t="n"/>
      <c r="J19" s="32" t="n"/>
      <c r="K19" s="32" t="n"/>
    </row>
    <row r="20" ht="30" customHeight="1">
      <c r="A20" s="32" t="n"/>
      <c r="B20" s="32" t="n"/>
      <c r="C20" s="32" t="n"/>
      <c r="D20" s="32" t="n"/>
      <c r="E20" s="32" t="n"/>
      <c r="F20" s="35" t="n"/>
      <c r="G20" s="41" t="n"/>
      <c r="H20" s="41" t="n"/>
      <c r="I20" s="32" t="n"/>
      <c r="J20" s="32" t="n"/>
      <c r="K20" s="32" t="n"/>
    </row>
    <row r="21" ht="30" customHeight="1">
      <c r="A21" s="32" t="n"/>
      <c r="B21" s="32" t="n"/>
      <c r="C21" s="32" t="n"/>
      <c r="D21" s="32" t="n"/>
      <c r="E21" s="32" t="n"/>
      <c r="F21" s="35" t="n"/>
      <c r="G21" s="41" t="n"/>
      <c r="H21" s="41" t="n"/>
      <c r="I21" s="32" t="n"/>
      <c r="J21" s="32" t="n"/>
      <c r="K21" s="32" t="n"/>
    </row>
    <row r="22" ht="30" customHeight="1">
      <c r="A22" s="32" t="n"/>
      <c r="B22" s="32" t="n"/>
      <c r="C22" s="32" t="n"/>
      <c r="D22" s="32" t="n"/>
      <c r="E22" s="32" t="n"/>
      <c r="F22" s="35" t="n"/>
      <c r="G22" s="41" t="n"/>
      <c r="H22" s="41" t="n"/>
      <c r="I22" s="32" t="n"/>
      <c r="J22" s="32" t="n"/>
      <c r="K22" s="32" t="n"/>
    </row>
    <row r="23" ht="30" customHeight="1">
      <c r="A23" s="32" t="n"/>
      <c r="B23" s="32" t="n"/>
      <c r="C23" s="32" t="n"/>
      <c r="D23" s="32" t="n"/>
      <c r="E23" s="32" t="n"/>
      <c r="F23" s="35" t="n"/>
      <c r="G23" s="41" t="n"/>
      <c r="H23" s="41" t="n"/>
      <c r="I23" s="32" t="n"/>
      <c r="J23" s="32" t="n"/>
      <c r="K23" s="32" t="n"/>
    </row>
    <row r="24" ht="30" customHeight="1">
      <c r="A24" s="32" t="n"/>
      <c r="B24" s="32" t="n"/>
      <c r="C24" s="32" t="n"/>
      <c r="D24" s="32" t="n"/>
      <c r="E24" s="32" t="n"/>
      <c r="F24" s="35" t="n"/>
      <c r="G24" s="41" t="n"/>
      <c r="H24" s="41" t="n"/>
      <c r="I24" s="32" t="n"/>
      <c r="J24" s="32" t="n"/>
      <c r="K24" s="32" t="n"/>
    </row>
    <row r="25" ht="30" customHeight="1">
      <c r="A25" s="32" t="n"/>
      <c r="B25" s="32" t="n"/>
      <c r="C25" s="32" t="n"/>
      <c r="D25" s="32" t="n"/>
      <c r="E25" s="32" t="n"/>
      <c r="F25" s="35" t="n"/>
      <c r="G25" s="41" t="n"/>
      <c r="H25" s="41" t="n"/>
      <c r="I25" s="32" t="n"/>
      <c r="J25" s="32" t="n"/>
      <c r="K25" s="32" t="n"/>
    </row>
    <row r="26" ht="30" customHeight="1">
      <c r="A26" s="32" t="n"/>
      <c r="B26" s="32" t="n"/>
      <c r="C26" s="32" t="n"/>
      <c r="D26" s="32" t="n"/>
      <c r="E26" s="32" t="n"/>
      <c r="F26" s="35" t="n"/>
      <c r="G26" s="41" t="n"/>
      <c r="H26" s="41" t="n"/>
      <c r="I26" s="32" t="n"/>
      <c r="J26" s="32" t="n"/>
      <c r="K26" s="32" t="n"/>
    </row>
    <row r="27" ht="30" customHeight="1">
      <c r="A27" s="32" t="n"/>
      <c r="B27" s="32" t="n"/>
      <c r="C27" s="32" t="n"/>
      <c r="D27" s="32" t="n"/>
      <c r="E27" s="32" t="n"/>
      <c r="F27" s="35" t="n"/>
      <c r="G27" s="41" t="n"/>
      <c r="H27" s="41" t="n"/>
      <c r="I27" s="32" t="n"/>
      <c r="J27" s="32" t="n"/>
      <c r="K27" s="32" t="n"/>
    </row>
    <row r="28" ht="30" customHeight="1">
      <c r="A28" s="32" t="n"/>
      <c r="B28" s="32" t="n"/>
      <c r="C28" s="32" t="n"/>
      <c r="D28" s="32" t="n"/>
      <c r="E28" s="32" t="n"/>
      <c r="F28" s="35" t="n"/>
      <c r="G28" s="41" t="n"/>
      <c r="H28" s="41" t="n"/>
      <c r="I28" s="32" t="n"/>
      <c r="J28" s="32" t="n"/>
      <c r="K28" s="32" t="n"/>
    </row>
    <row r="29" ht="30" customHeight="1">
      <c r="A29" s="32" t="n"/>
      <c r="B29" s="32" t="n"/>
      <c r="C29" s="32" t="n"/>
      <c r="D29" s="32" t="n"/>
      <c r="E29" s="32" t="n"/>
      <c r="F29" s="35" t="n"/>
      <c r="G29" s="41" t="n"/>
      <c r="H29" s="41" t="n"/>
      <c r="I29" s="32" t="n"/>
      <c r="J29" s="32" t="n"/>
      <c r="K29" s="32" t="n"/>
    </row>
    <row r="30" ht="30" customHeight="1">
      <c r="A30" s="32" t="n"/>
      <c r="B30" s="32" t="n"/>
      <c r="C30" s="32" t="n"/>
      <c r="D30" s="32" t="n"/>
      <c r="E30" s="32" t="n"/>
      <c r="F30" s="35" t="n"/>
      <c r="G30" s="41" t="n"/>
      <c r="H30" s="41" t="n"/>
      <c r="I30" s="32" t="n"/>
      <c r="J30" s="32" t="n"/>
      <c r="K30" s="32" t="n"/>
    </row>
    <row r="31" ht="30" customHeight="1">
      <c r="A31" s="32" t="n"/>
      <c r="B31" s="32" t="n"/>
      <c r="C31" s="32" t="n"/>
      <c r="D31" s="32" t="n"/>
      <c r="E31" s="32" t="n"/>
      <c r="F31" s="35" t="n"/>
      <c r="G31" s="41" t="n"/>
      <c r="H31" s="41" t="n"/>
      <c r="I31" s="32" t="n"/>
      <c r="J31" s="32" t="n"/>
      <c r="K31" s="32" t="n"/>
    </row>
    <row r="32" ht="30" customHeight="1">
      <c r="A32" s="32" t="n"/>
      <c r="B32" s="32" t="n"/>
      <c r="C32" s="32" t="n"/>
      <c r="D32" s="32" t="n"/>
      <c r="E32" s="32" t="n"/>
      <c r="F32" s="35" t="n"/>
      <c r="G32" s="41" t="n"/>
      <c r="H32" s="41" t="n"/>
      <c r="I32" s="32" t="n"/>
      <c r="J32" s="32" t="n"/>
      <c r="K32" s="32" t="n"/>
    </row>
    <row r="33" ht="30" customHeight="1">
      <c r="A33" s="32" t="n"/>
      <c r="B33" s="32" t="n"/>
      <c r="C33" s="32" t="n"/>
      <c r="D33" s="32" t="n"/>
      <c r="E33" s="32" t="n"/>
      <c r="F33" s="35" t="n"/>
      <c r="G33" s="41" t="n"/>
      <c r="H33" s="41" t="n"/>
      <c r="I33" s="32" t="n"/>
      <c r="J33" s="32" t="n"/>
      <c r="K33" s="32" t="n"/>
    </row>
    <row r="34" ht="30" customHeight="1">
      <c r="A34" s="32" t="n"/>
      <c r="B34" s="32" t="n"/>
      <c r="C34" s="32" t="n"/>
      <c r="D34" s="32" t="n"/>
      <c r="E34" s="32" t="n"/>
      <c r="F34" s="35" t="n"/>
      <c r="G34" s="41" t="n"/>
      <c r="H34" s="41" t="n"/>
      <c r="I34" s="32" t="n"/>
      <c r="J34" s="32" t="n"/>
      <c r="K34" s="32" t="n"/>
    </row>
    <row r="35" ht="30" customHeight="1">
      <c r="A35" s="32" t="n"/>
      <c r="B35" s="32" t="n"/>
      <c r="C35" s="32" t="n"/>
      <c r="D35" s="32" t="n"/>
      <c r="E35" s="32" t="n"/>
      <c r="F35" s="35" t="n"/>
      <c r="G35" s="41" t="n"/>
      <c r="H35" s="41" t="n"/>
      <c r="I35" s="32" t="n"/>
      <c r="J35" s="32" t="n"/>
      <c r="K35" s="32" t="n"/>
    </row>
    <row r="36" ht="30" customHeight="1">
      <c r="A36" s="32" t="n"/>
      <c r="B36" s="32" t="n"/>
      <c r="C36" s="32" t="n"/>
      <c r="D36" s="32" t="n"/>
      <c r="E36" s="32" t="n"/>
      <c r="F36" s="35" t="n"/>
      <c r="G36" s="41" t="n"/>
      <c r="H36" s="41" t="n"/>
      <c r="I36" s="32" t="n"/>
      <c r="J36" s="32" t="n"/>
      <c r="K36" s="32" t="n"/>
    </row>
    <row r="37" ht="30" customHeight="1">
      <c r="A37" s="32" t="n"/>
      <c r="B37" s="32" t="n"/>
      <c r="C37" s="32" t="n"/>
      <c r="D37" s="32" t="n"/>
      <c r="E37" s="32" t="n"/>
      <c r="F37" s="35" t="n"/>
      <c r="G37" s="41" t="n"/>
      <c r="H37" s="41" t="n"/>
      <c r="I37" s="32" t="n"/>
      <c r="J37" s="32" t="n"/>
      <c r="K37" s="32" t="n"/>
    </row>
    <row r="38" ht="30" customHeight="1">
      <c r="A38" s="32" t="n"/>
      <c r="B38" s="32" t="n"/>
      <c r="C38" s="32" t="n"/>
      <c r="D38" s="32" t="n"/>
      <c r="E38" s="32" t="n"/>
      <c r="F38" s="35" t="n"/>
      <c r="G38" s="41" t="n"/>
      <c r="H38" s="41" t="n"/>
      <c r="I38" s="32" t="n"/>
      <c r="J38" s="32" t="n"/>
      <c r="K38" s="32" t="n"/>
    </row>
  </sheetData>
  <autoFilter ref="A8:K38"/>
  <mergeCells count="5">
    <mergeCell ref="A6:K6"/>
    <mergeCell ref="I1:L1"/>
    <mergeCell ref="A1:H1"/>
    <mergeCell ref="A3:L3"/>
    <mergeCell ref="A5:K5"/>
  </mergeCells>
  <conditionalFormatting sqref="J9:J38">
    <cfRule type="expression" priority="1" dxfId="2">
      <formula>$J9="Conferido"</formula>
    </cfRule>
    <cfRule type="expression" priority="2" dxfId="3">
      <formula>$J9="Recebido"</formula>
    </cfRule>
    <cfRule type="expression" priority="3" dxfId="4">
      <formula>$J9="Pendente"</formula>
    </cfRule>
    <cfRule type="expression" priority="4" dxfId="5">
      <formula>$J9="Não se aplica"</formula>
    </cfRule>
  </conditionalFormatting>
  <dataValidations count="5">
    <dataValidation sqref="B9:B38" showDropDown="0" showInputMessage="1" showErrorMessage="1" allowBlank="1" errorTitle="Valor inválido" error="Escolha uma opção da lista." promptTitle="Lista de opções" prompt="Selecione o grupo do bem." type="list">
      <formula1>=lista_grupos_bens</formula1>
    </dataValidation>
    <dataValidation sqref="E9:E38" showDropDown="0" showInputMessage="1" showErrorMessage="1" allowBlank="1" errorTitle="Valor inválido" error="Escolha uma opção da lista." promptTitle="Lista de opções" prompt="Selecione o país." type="list">
      <formula1>=lista_paises</formula1>
    </dataValidation>
    <dataValidation sqref="J9:J38" showDropDown="0" showInputMessage="1" showErrorMessage="1" allowBlank="1" errorTitle="Valor inválido" error="Escolha uma opção da lista." promptTitle="Lista de opções" prompt="Selecione o andamento da conferência." type="list">
      <formula1>=lista_status_documento</formula1>
    </dataValidation>
    <dataValidation sqref="F9:F38" showDropDown="0" showInputMessage="0" showErrorMessage="1" allowBlank="1" errorTitle="Data inválida" error="Informe uma data entre 1900 e 2025." type="date" operator="between">
      <formula1>DATE(1900,1,1)</formula1>
      <formula2>DATE(2025,12,31)</formula2>
    </dataValidation>
    <dataValidation sqref="G9:H38" showDropDown="0" showInputMessage="0" showErrorMessage="1" allowBlank="1" errorTitle="Valor inválido" error="Digite um valor igual ou maior que zero." type="decimal" operator="greaterThanOrEqual">
      <formula1>0</formula1>
    </dataValidation>
  </dataValidations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C2" r:id="rId3"/>
    <hyperlink xmlns:r="http://schemas.openxmlformats.org/officeDocument/2006/relationships" ref="D2" r:id="rId4"/>
    <hyperlink xmlns:r="http://schemas.openxmlformats.org/officeDocument/2006/relationships" ref="E2" r:id="rId5"/>
    <hyperlink xmlns:r="http://schemas.openxmlformats.org/officeDocument/2006/relationships" ref="F2" r:id="rId6"/>
    <hyperlink xmlns:r="http://schemas.openxmlformats.org/officeDocument/2006/relationships" ref="G2" r:id="rId7"/>
    <hyperlink xmlns:r="http://schemas.openxmlformats.org/officeDocument/2006/relationships" ref="H2" r:id="rId8"/>
    <hyperlink xmlns:r="http://schemas.openxmlformats.org/officeDocument/2006/relationships" ref="I2" r:id="rId9"/>
  </hyperlinks>
  <pageMargins left="0.25" right="0.25" top="0.4" bottom="0.4" header="0.5" footer="0.5"/>
  <pageSetup fitToHeight="0" fitToWidth="1"/>
  <headerFooter>
    <oddHeader/>
    <oddFooter>&amp;C&amp;8 &amp;K64748BIR Panorama • 0Barone (@gabrielnasciimentoleandro-arch)</oddFooter>
    <evenHeader/>
    <evenFooter/>
    <firstHeader/>
    <firstFooter/>
  </headerFooter>
  <tableParts count="1">
    <tablePart xmlns:r="http://schemas.openxmlformats.org/officeDocument/2006/relationships" r:id="rId10"/>
  </tableParts>
</worksheet>
</file>

<file path=xl/worksheets/sheet6.xml><?xml version="1.0" encoding="utf-8"?>
<worksheet xmlns="http://schemas.openxmlformats.org/spreadsheetml/2006/main" xmlns:ns1="http://schemas.openxmlformats.org/officeDocument/2006/relationships">
  <sheetPr>
    <outlinePr summaryBelow="1" summaryRight="1"/>
    <pageSetUpPr fitToPage="1"/>
  </sheetPr>
  <dimension ref="A1:L38"/>
  <sheetViews>
    <sheetView showGridLines="0" zoomScale="80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3" customWidth="1" min="1" max="1"/>
    <col width="22" customWidth="1" min="2" max="2"/>
    <col width="27" customWidth="1" min="3" max="3"/>
    <col width="20" customWidth="1" min="4" max="4"/>
    <col width="15" customWidth="1" min="5" max="5"/>
    <col width="16" customWidth="1" min="6" max="6"/>
    <col width="16" customWidth="1" min="7" max="7"/>
    <col width="17" customWidth="1" min="8" max="8"/>
    <col width="28" customWidth="1" min="9" max="9"/>
    <col width="15" customWidth="1" min="10" max="10"/>
    <col width="30" customWidth="1" min="11" max="11"/>
    <col width="14" customWidth="1" min="12" max="12"/>
  </cols>
  <sheetData>
    <row r="1" ht="24" customHeight="1">
      <c r="A1" s="1" t="inlineStr">
        <is>
          <t>PAGAMENTOS</t>
        </is>
      </c>
      <c r="I1" s="2" t="inlineStr">
        <is>
          <t>PROJETO AUTORAL • DADOS FICTÍCIOS</t>
        </is>
      </c>
    </row>
    <row r="2" ht="24" customHeight="1">
      <c r="A2" s="4" t="inlineStr">
        <is>
          <t>INÍCIO</t>
        </is>
      </c>
      <c r="B2" s="4" t="inlineStr">
        <is>
          <t>TITULAR</t>
        </is>
      </c>
      <c r="C2" s="4" t="inlineStr">
        <is>
          <t>DEPENDENTES</t>
        </is>
      </c>
      <c r="D2" s="4" t="inlineStr">
        <is>
          <t>RENDIMENTOS</t>
        </is>
      </c>
      <c r="E2" s="4" t="inlineStr">
        <is>
          <t>BENS</t>
        </is>
      </c>
      <c r="F2" s="3" t="inlineStr">
        <is>
          <t>PAGAMENTOS</t>
        </is>
      </c>
      <c r="G2" s="4" t="inlineStr">
        <is>
          <t>INFORMES</t>
        </is>
      </c>
      <c r="H2" s="4" t="inlineStr">
        <is>
          <t>NOTAS</t>
        </is>
      </c>
      <c r="I2" s="4" t="inlineStr">
        <is>
          <t>GUIA</t>
        </is>
      </c>
      <c r="J2" s="5" t="n"/>
      <c r="K2" s="5" t="n"/>
      <c r="L2" s="5" t="n"/>
    </row>
    <row r="3" ht="24" customHeight="1">
      <c r="A3" s="6" t="inlineStr">
        <is>
          <t>Registre pagamentos e reembolsos; a coluna Valor líquido é calculada automaticamente.</t>
        </is>
      </c>
    </row>
    <row r="5" ht="25" customHeight="1">
      <c r="A5" s="7" t="inlineStr">
        <is>
          <t>REGISTROS — 3 EXEMPLO(S) FICTÍCIO(S) PREENCHIDO(S)</t>
        </is>
      </c>
    </row>
    <row r="6">
      <c r="A6" s="39" t="inlineStr">
        <is>
          <t>Adicione novas linhas dentro da tabela. Células azul-claro são editáveis; colunas cinza contêm fórmulas.</t>
        </is>
      </c>
    </row>
    <row r="8" ht="36" customHeight="1">
      <c r="A8" s="40" t="inlineStr">
        <is>
          <t>ID</t>
        </is>
      </c>
      <c r="B8" s="40" t="inlineStr">
        <is>
          <t>Categoria</t>
        </is>
      </c>
      <c r="C8" s="40" t="inlineStr">
        <is>
          <t>Beneficiário</t>
        </is>
      </c>
      <c r="D8" s="40" t="inlineStr">
        <is>
          <t>CPF/CNPJ</t>
        </is>
      </c>
      <c r="E8" s="40" t="inlineStr">
        <is>
          <t>Pessoa</t>
        </is>
      </c>
      <c r="F8" s="40" t="inlineStr">
        <is>
          <t>Valor pago</t>
        </is>
      </c>
      <c r="G8" s="40" t="inlineStr">
        <is>
          <t>Reembolso</t>
        </is>
      </c>
      <c r="H8" s="40" t="inlineStr">
        <is>
          <t>Valor líquido</t>
        </is>
      </c>
      <c r="I8" s="40" t="inlineStr">
        <is>
          <t>Documento</t>
        </is>
      </c>
      <c r="J8" s="40" t="inlineStr">
        <is>
          <t>Status</t>
        </is>
      </c>
      <c r="K8" s="40" t="inlineStr">
        <is>
          <t>Observações</t>
        </is>
      </c>
    </row>
    <row r="9" ht="30" customHeight="1">
      <c r="A9" s="32" t="inlineStr">
        <is>
          <t>PAG-001</t>
        </is>
      </c>
      <c r="B9" s="32" t="inlineStr">
        <is>
          <t>Plano de saúde</t>
        </is>
      </c>
      <c r="C9" s="32" t="inlineStr">
        <is>
          <t>Saúde Modelo S.A.</t>
        </is>
      </c>
      <c r="D9" s="32" t="inlineStr">
        <is>
          <t>00.000.000/0004-00</t>
        </is>
      </c>
      <c r="E9" s="32" t="inlineStr">
        <is>
          <t>Titular</t>
        </is>
      </c>
      <c r="F9" s="41" t="n">
        <v>4560</v>
      </c>
      <c r="G9" s="41" t="n">
        <v>0</v>
      </c>
      <c r="H9" s="42">
        <f>IF(COUNTA(F9:G9)=0,"",MAX(0,F9-G9))</f>
        <v>4560</v>
      </c>
      <c r="I9" s="32" t="inlineStr">
        <is>
          <t>informe_saude_2025.pdf</t>
        </is>
      </c>
      <c r="J9" s="32" t="inlineStr">
        <is>
          <t>Conferido</t>
        </is>
      </c>
      <c r="K9" s="32" t="inlineStr">
        <is>
          <t>Exemplo fictício</t>
        </is>
      </c>
    </row>
    <row r="10" ht="30" customHeight="1">
      <c r="A10" s="32" t="inlineStr">
        <is>
          <t>PAG-002</t>
        </is>
      </c>
      <c r="B10" s="32" t="inlineStr">
        <is>
          <t>Dentista</t>
        </is>
      </c>
      <c r="C10" s="32" t="inlineStr">
        <is>
          <t>Clínica Exemplo</t>
        </is>
      </c>
      <c r="D10" s="32" t="inlineStr">
        <is>
          <t>00.000.000/0005-00</t>
        </is>
      </c>
      <c r="E10" s="32" t="inlineStr">
        <is>
          <t>Titular</t>
        </is>
      </c>
      <c r="F10" s="41" t="n">
        <v>1800</v>
      </c>
      <c r="G10" s="41" t="n">
        <v>300</v>
      </c>
      <c r="H10" s="42">
        <f>IF(COUNTA(F10:G10)=0,"",MAX(0,F10-G10))</f>
        <v>1500</v>
      </c>
      <c r="I10" s="32" t="inlineStr">
        <is>
          <t>recibos_dentista.pdf</t>
        </is>
      </c>
      <c r="J10" s="32" t="inlineStr">
        <is>
          <t>Recebido</t>
        </is>
      </c>
      <c r="K10" s="32" t="inlineStr">
        <is>
          <t>Conferir reembolso</t>
        </is>
      </c>
    </row>
    <row r="11" ht="30" customHeight="1">
      <c r="A11" s="32" t="inlineStr">
        <is>
          <t>PAG-003</t>
        </is>
      </c>
      <c r="B11" s="32" t="inlineStr">
        <is>
          <t>Educação</t>
        </is>
      </c>
      <c r="C11" s="32" t="inlineStr">
        <is>
          <t>Escola Demonstração</t>
        </is>
      </c>
      <c r="D11" s="32" t="inlineStr">
        <is>
          <t>00.000.000/0006-00</t>
        </is>
      </c>
      <c r="E11" s="32" t="inlineStr">
        <is>
          <t>Dependente</t>
        </is>
      </c>
      <c r="F11" s="41" t="n">
        <v>6400</v>
      </c>
      <c r="G11" s="41" t="n">
        <v>0</v>
      </c>
      <c r="H11" s="42">
        <f>IF(COUNTA(F11:G11)=0,"",MAX(0,F11-G11))</f>
        <v>6400</v>
      </c>
      <c r="I11" s="32" t="inlineStr">
        <is>
          <t>comprovante_escolar.pdf</t>
        </is>
      </c>
      <c r="J11" s="32" t="inlineStr">
        <is>
          <t>Pendente</t>
        </is>
      </c>
      <c r="K11" s="32" t="inlineStr">
        <is>
          <t>Aguardando informe anual</t>
        </is>
      </c>
    </row>
    <row r="12" ht="30" customHeight="1">
      <c r="A12" s="32" t="n"/>
      <c r="B12" s="32" t="n"/>
      <c r="C12" s="32" t="n"/>
      <c r="D12" s="32" t="n"/>
      <c r="E12" s="32" t="n"/>
      <c r="F12" s="41" t="n"/>
      <c r="G12" s="41" t="n"/>
      <c r="H12" s="42">
        <f>IF(COUNTA(F12:G12)=0,"",MAX(0,F12-G12))</f>
        <v/>
      </c>
      <c r="I12" s="32" t="n"/>
      <c r="J12" s="32" t="n"/>
      <c r="K12" s="32" t="n"/>
    </row>
    <row r="13" ht="30" customHeight="1">
      <c r="A13" s="32" t="n"/>
      <c r="B13" s="32" t="n"/>
      <c r="C13" s="32" t="n"/>
      <c r="D13" s="32" t="n"/>
      <c r="E13" s="32" t="n"/>
      <c r="F13" s="41" t="n"/>
      <c r="G13" s="41" t="n"/>
      <c r="H13" s="42">
        <f>IF(COUNTA(F13:G13)=0,"",MAX(0,F13-G13))</f>
        <v/>
      </c>
      <c r="I13" s="32" t="n"/>
      <c r="J13" s="32" t="n"/>
      <c r="K13" s="32" t="n"/>
    </row>
    <row r="14" ht="30" customHeight="1">
      <c r="A14" s="32" t="n"/>
      <c r="B14" s="32" t="n"/>
      <c r="C14" s="32" t="n"/>
      <c r="D14" s="32" t="n"/>
      <c r="E14" s="32" t="n"/>
      <c r="F14" s="41" t="n"/>
      <c r="G14" s="41" t="n"/>
      <c r="H14" s="42">
        <f>IF(COUNTA(F14:G14)=0,"",MAX(0,F14-G14))</f>
        <v/>
      </c>
      <c r="I14" s="32" t="n"/>
      <c r="J14" s="32" t="n"/>
      <c r="K14" s="32" t="n"/>
    </row>
    <row r="15" ht="30" customHeight="1">
      <c r="A15" s="32" t="n"/>
      <c r="B15" s="32" t="n"/>
      <c r="C15" s="32" t="n"/>
      <c r="D15" s="32" t="n"/>
      <c r="E15" s="32" t="n"/>
      <c r="F15" s="41" t="n"/>
      <c r="G15" s="41" t="n"/>
      <c r="H15" s="42">
        <f>IF(COUNTA(F15:G15)=0,"",MAX(0,F15-G15))</f>
        <v/>
      </c>
      <c r="I15" s="32" t="n"/>
      <c r="J15" s="32" t="n"/>
      <c r="K15" s="32" t="n"/>
    </row>
    <row r="16" ht="30" customHeight="1">
      <c r="A16" s="32" t="n"/>
      <c r="B16" s="32" t="n"/>
      <c r="C16" s="32" t="n"/>
      <c r="D16" s="32" t="n"/>
      <c r="E16" s="32" t="n"/>
      <c r="F16" s="41" t="n"/>
      <c r="G16" s="41" t="n"/>
      <c r="H16" s="42">
        <f>IF(COUNTA(F16:G16)=0,"",MAX(0,F16-G16))</f>
        <v/>
      </c>
      <c r="I16" s="32" t="n"/>
      <c r="J16" s="32" t="n"/>
      <c r="K16" s="32" t="n"/>
    </row>
    <row r="17" ht="30" customHeight="1">
      <c r="A17" s="32" t="n"/>
      <c r="B17" s="32" t="n"/>
      <c r="C17" s="32" t="n"/>
      <c r="D17" s="32" t="n"/>
      <c r="E17" s="32" t="n"/>
      <c r="F17" s="41" t="n"/>
      <c r="G17" s="41" t="n"/>
      <c r="H17" s="42">
        <f>IF(COUNTA(F17:G17)=0,"",MAX(0,F17-G17))</f>
        <v/>
      </c>
      <c r="I17" s="32" t="n"/>
      <c r="J17" s="32" t="n"/>
      <c r="K17" s="32" t="n"/>
    </row>
    <row r="18" ht="30" customHeight="1">
      <c r="A18" s="32" t="n"/>
      <c r="B18" s="32" t="n"/>
      <c r="C18" s="32" t="n"/>
      <c r="D18" s="32" t="n"/>
      <c r="E18" s="32" t="n"/>
      <c r="F18" s="41" t="n"/>
      <c r="G18" s="41" t="n"/>
      <c r="H18" s="42">
        <f>IF(COUNTA(F18:G18)=0,"",MAX(0,F18-G18))</f>
        <v/>
      </c>
      <c r="I18" s="32" t="n"/>
      <c r="J18" s="32" t="n"/>
      <c r="K18" s="32" t="n"/>
    </row>
    <row r="19" ht="30" customHeight="1">
      <c r="A19" s="32" t="n"/>
      <c r="B19" s="32" t="n"/>
      <c r="C19" s="32" t="n"/>
      <c r="D19" s="32" t="n"/>
      <c r="E19" s="32" t="n"/>
      <c r="F19" s="41" t="n"/>
      <c r="G19" s="41" t="n"/>
      <c r="H19" s="42">
        <f>IF(COUNTA(F19:G19)=0,"",MAX(0,F19-G19))</f>
        <v/>
      </c>
      <c r="I19" s="32" t="n"/>
      <c r="J19" s="32" t="n"/>
      <c r="K19" s="32" t="n"/>
    </row>
    <row r="20" ht="30" customHeight="1">
      <c r="A20" s="32" t="n"/>
      <c r="B20" s="32" t="n"/>
      <c r="C20" s="32" t="n"/>
      <c r="D20" s="32" t="n"/>
      <c r="E20" s="32" t="n"/>
      <c r="F20" s="41" t="n"/>
      <c r="G20" s="41" t="n"/>
      <c r="H20" s="42">
        <f>IF(COUNTA(F20:G20)=0,"",MAX(0,F20-G20))</f>
        <v/>
      </c>
      <c r="I20" s="32" t="n"/>
      <c r="J20" s="32" t="n"/>
      <c r="K20" s="32" t="n"/>
    </row>
    <row r="21" ht="30" customHeight="1">
      <c r="A21" s="32" t="n"/>
      <c r="B21" s="32" t="n"/>
      <c r="C21" s="32" t="n"/>
      <c r="D21" s="32" t="n"/>
      <c r="E21" s="32" t="n"/>
      <c r="F21" s="41" t="n"/>
      <c r="G21" s="41" t="n"/>
      <c r="H21" s="42">
        <f>IF(COUNTA(F21:G21)=0,"",MAX(0,F21-G21))</f>
        <v/>
      </c>
      <c r="I21" s="32" t="n"/>
      <c r="J21" s="32" t="n"/>
      <c r="K21" s="32" t="n"/>
    </row>
    <row r="22" ht="30" customHeight="1">
      <c r="A22" s="32" t="n"/>
      <c r="B22" s="32" t="n"/>
      <c r="C22" s="32" t="n"/>
      <c r="D22" s="32" t="n"/>
      <c r="E22" s="32" t="n"/>
      <c r="F22" s="41" t="n"/>
      <c r="G22" s="41" t="n"/>
      <c r="H22" s="42">
        <f>IF(COUNTA(F22:G22)=0,"",MAX(0,F22-G22))</f>
        <v/>
      </c>
      <c r="I22" s="32" t="n"/>
      <c r="J22" s="32" t="n"/>
      <c r="K22" s="32" t="n"/>
    </row>
    <row r="23" ht="30" customHeight="1">
      <c r="A23" s="32" t="n"/>
      <c r="B23" s="32" t="n"/>
      <c r="C23" s="32" t="n"/>
      <c r="D23" s="32" t="n"/>
      <c r="E23" s="32" t="n"/>
      <c r="F23" s="41" t="n"/>
      <c r="G23" s="41" t="n"/>
      <c r="H23" s="42">
        <f>IF(COUNTA(F23:G23)=0,"",MAX(0,F23-G23))</f>
        <v/>
      </c>
      <c r="I23" s="32" t="n"/>
      <c r="J23" s="32" t="n"/>
      <c r="K23" s="32" t="n"/>
    </row>
    <row r="24" ht="30" customHeight="1">
      <c r="A24" s="32" t="n"/>
      <c r="B24" s="32" t="n"/>
      <c r="C24" s="32" t="n"/>
      <c r="D24" s="32" t="n"/>
      <c r="E24" s="32" t="n"/>
      <c r="F24" s="41" t="n"/>
      <c r="G24" s="41" t="n"/>
      <c r="H24" s="42">
        <f>IF(COUNTA(F24:G24)=0,"",MAX(0,F24-G24))</f>
        <v/>
      </c>
      <c r="I24" s="32" t="n"/>
      <c r="J24" s="32" t="n"/>
      <c r="K24" s="32" t="n"/>
    </row>
    <row r="25" ht="30" customHeight="1">
      <c r="A25" s="32" t="n"/>
      <c r="B25" s="32" t="n"/>
      <c r="C25" s="32" t="n"/>
      <c r="D25" s="32" t="n"/>
      <c r="E25" s="32" t="n"/>
      <c r="F25" s="41" t="n"/>
      <c r="G25" s="41" t="n"/>
      <c r="H25" s="42">
        <f>IF(COUNTA(F25:G25)=0,"",MAX(0,F25-G25))</f>
        <v/>
      </c>
      <c r="I25" s="32" t="n"/>
      <c r="J25" s="32" t="n"/>
      <c r="K25" s="32" t="n"/>
    </row>
    <row r="26" ht="30" customHeight="1">
      <c r="A26" s="32" t="n"/>
      <c r="B26" s="32" t="n"/>
      <c r="C26" s="32" t="n"/>
      <c r="D26" s="32" t="n"/>
      <c r="E26" s="32" t="n"/>
      <c r="F26" s="41" t="n"/>
      <c r="G26" s="41" t="n"/>
      <c r="H26" s="42">
        <f>IF(COUNTA(F26:G26)=0,"",MAX(0,F26-G26))</f>
        <v/>
      </c>
      <c r="I26" s="32" t="n"/>
      <c r="J26" s="32" t="n"/>
      <c r="K26" s="32" t="n"/>
    </row>
    <row r="27" ht="30" customHeight="1">
      <c r="A27" s="32" t="n"/>
      <c r="B27" s="32" t="n"/>
      <c r="C27" s="32" t="n"/>
      <c r="D27" s="32" t="n"/>
      <c r="E27" s="32" t="n"/>
      <c r="F27" s="41" t="n"/>
      <c r="G27" s="41" t="n"/>
      <c r="H27" s="42">
        <f>IF(COUNTA(F27:G27)=0,"",MAX(0,F27-G27))</f>
        <v/>
      </c>
      <c r="I27" s="32" t="n"/>
      <c r="J27" s="32" t="n"/>
      <c r="K27" s="32" t="n"/>
    </row>
    <row r="28" ht="30" customHeight="1">
      <c r="A28" s="32" t="n"/>
      <c r="B28" s="32" t="n"/>
      <c r="C28" s="32" t="n"/>
      <c r="D28" s="32" t="n"/>
      <c r="E28" s="32" t="n"/>
      <c r="F28" s="41" t="n"/>
      <c r="G28" s="41" t="n"/>
      <c r="H28" s="42">
        <f>IF(COUNTA(F28:G28)=0,"",MAX(0,F28-G28))</f>
        <v/>
      </c>
      <c r="I28" s="32" t="n"/>
      <c r="J28" s="32" t="n"/>
      <c r="K28" s="32" t="n"/>
    </row>
    <row r="29" ht="30" customHeight="1">
      <c r="A29" s="32" t="n"/>
      <c r="B29" s="32" t="n"/>
      <c r="C29" s="32" t="n"/>
      <c r="D29" s="32" t="n"/>
      <c r="E29" s="32" t="n"/>
      <c r="F29" s="41" t="n"/>
      <c r="G29" s="41" t="n"/>
      <c r="H29" s="42">
        <f>IF(COUNTA(F29:G29)=0,"",MAX(0,F29-G29))</f>
        <v/>
      </c>
      <c r="I29" s="32" t="n"/>
      <c r="J29" s="32" t="n"/>
      <c r="K29" s="32" t="n"/>
    </row>
    <row r="30" ht="30" customHeight="1">
      <c r="A30" s="32" t="n"/>
      <c r="B30" s="32" t="n"/>
      <c r="C30" s="32" t="n"/>
      <c r="D30" s="32" t="n"/>
      <c r="E30" s="32" t="n"/>
      <c r="F30" s="41" t="n"/>
      <c r="G30" s="41" t="n"/>
      <c r="H30" s="42">
        <f>IF(COUNTA(F30:G30)=0,"",MAX(0,F30-G30))</f>
        <v/>
      </c>
      <c r="I30" s="32" t="n"/>
      <c r="J30" s="32" t="n"/>
      <c r="K30" s="32" t="n"/>
    </row>
    <row r="31" ht="30" customHeight="1">
      <c r="A31" s="32" t="n"/>
      <c r="B31" s="32" t="n"/>
      <c r="C31" s="32" t="n"/>
      <c r="D31" s="32" t="n"/>
      <c r="E31" s="32" t="n"/>
      <c r="F31" s="41" t="n"/>
      <c r="G31" s="41" t="n"/>
      <c r="H31" s="42">
        <f>IF(COUNTA(F31:G31)=0,"",MAX(0,F31-G31))</f>
        <v/>
      </c>
      <c r="I31" s="32" t="n"/>
      <c r="J31" s="32" t="n"/>
      <c r="K31" s="32" t="n"/>
    </row>
    <row r="32" ht="30" customHeight="1">
      <c r="A32" s="32" t="n"/>
      <c r="B32" s="32" t="n"/>
      <c r="C32" s="32" t="n"/>
      <c r="D32" s="32" t="n"/>
      <c r="E32" s="32" t="n"/>
      <c r="F32" s="41" t="n"/>
      <c r="G32" s="41" t="n"/>
      <c r="H32" s="42">
        <f>IF(COUNTA(F32:G32)=0,"",MAX(0,F32-G32))</f>
        <v/>
      </c>
      <c r="I32" s="32" t="n"/>
      <c r="J32" s="32" t="n"/>
      <c r="K32" s="32" t="n"/>
    </row>
    <row r="33" ht="30" customHeight="1">
      <c r="A33" s="32" t="n"/>
      <c r="B33" s="32" t="n"/>
      <c r="C33" s="32" t="n"/>
      <c r="D33" s="32" t="n"/>
      <c r="E33" s="32" t="n"/>
      <c r="F33" s="41" t="n"/>
      <c r="G33" s="41" t="n"/>
      <c r="H33" s="42">
        <f>IF(COUNTA(F33:G33)=0,"",MAX(0,F33-G33))</f>
        <v/>
      </c>
      <c r="I33" s="32" t="n"/>
      <c r="J33" s="32" t="n"/>
      <c r="K33" s="32" t="n"/>
    </row>
    <row r="34" ht="30" customHeight="1">
      <c r="A34" s="32" t="n"/>
      <c r="B34" s="32" t="n"/>
      <c r="C34" s="32" t="n"/>
      <c r="D34" s="32" t="n"/>
      <c r="E34" s="32" t="n"/>
      <c r="F34" s="41" t="n"/>
      <c r="G34" s="41" t="n"/>
      <c r="H34" s="42">
        <f>IF(COUNTA(F34:G34)=0,"",MAX(0,F34-G34))</f>
        <v/>
      </c>
      <c r="I34" s="32" t="n"/>
      <c r="J34" s="32" t="n"/>
      <c r="K34" s="32" t="n"/>
    </row>
    <row r="35" ht="30" customHeight="1">
      <c r="A35" s="32" t="n"/>
      <c r="B35" s="32" t="n"/>
      <c r="C35" s="32" t="n"/>
      <c r="D35" s="32" t="n"/>
      <c r="E35" s="32" t="n"/>
      <c r="F35" s="41" t="n"/>
      <c r="G35" s="41" t="n"/>
      <c r="H35" s="42">
        <f>IF(COUNTA(F35:G35)=0,"",MAX(0,F35-G35))</f>
        <v/>
      </c>
      <c r="I35" s="32" t="n"/>
      <c r="J35" s="32" t="n"/>
      <c r="K35" s="32" t="n"/>
    </row>
    <row r="36" ht="30" customHeight="1">
      <c r="A36" s="32" t="n"/>
      <c r="B36" s="32" t="n"/>
      <c r="C36" s="32" t="n"/>
      <c r="D36" s="32" t="n"/>
      <c r="E36" s="32" t="n"/>
      <c r="F36" s="41" t="n"/>
      <c r="G36" s="41" t="n"/>
      <c r="H36" s="42">
        <f>IF(COUNTA(F36:G36)=0,"",MAX(0,F36-G36))</f>
        <v/>
      </c>
      <c r="I36" s="32" t="n"/>
      <c r="J36" s="32" t="n"/>
      <c r="K36" s="32" t="n"/>
    </row>
    <row r="37" ht="30" customHeight="1">
      <c r="A37" s="32" t="n"/>
      <c r="B37" s="32" t="n"/>
      <c r="C37" s="32" t="n"/>
      <c r="D37" s="32" t="n"/>
      <c r="E37" s="32" t="n"/>
      <c r="F37" s="41" t="n"/>
      <c r="G37" s="41" t="n"/>
      <c r="H37" s="42">
        <f>IF(COUNTA(F37:G37)=0,"",MAX(0,F37-G37))</f>
        <v/>
      </c>
      <c r="I37" s="32" t="n"/>
      <c r="J37" s="32" t="n"/>
      <c r="K37" s="32" t="n"/>
    </row>
    <row r="38" ht="30" customHeight="1">
      <c r="A38" s="32" t="n"/>
      <c r="B38" s="32" t="n"/>
      <c r="C38" s="32" t="n"/>
      <c r="D38" s="32" t="n"/>
      <c r="E38" s="32" t="n"/>
      <c r="F38" s="41" t="n"/>
      <c r="G38" s="41" t="n"/>
      <c r="H38" s="42">
        <f>IF(COUNTA(F38:G38)=0,"",MAX(0,F38-G38))</f>
        <v/>
      </c>
      <c r="I38" s="32" t="n"/>
      <c r="J38" s="32" t="n"/>
      <c r="K38" s="32" t="n"/>
    </row>
  </sheetData>
  <autoFilter ref="A8:K38"/>
  <mergeCells count="5">
    <mergeCell ref="A6:K6"/>
    <mergeCell ref="I1:L1"/>
    <mergeCell ref="A1:H1"/>
    <mergeCell ref="A3:L3"/>
    <mergeCell ref="A5:K5"/>
  </mergeCells>
  <conditionalFormatting sqref="J9:J38">
    <cfRule type="expression" priority="1" dxfId="2">
      <formula>$J9="Conferido"</formula>
    </cfRule>
    <cfRule type="expression" priority="2" dxfId="3">
      <formula>$J9="Recebido"</formula>
    </cfRule>
    <cfRule type="expression" priority="3" dxfId="4">
      <formula>$J9="Pendente"</formula>
    </cfRule>
    <cfRule type="expression" priority="4" dxfId="5">
      <formula>$J9="Não se aplica"</formula>
    </cfRule>
  </conditionalFormatting>
  <dataValidations count="4">
    <dataValidation sqref="B9:B38" showDropDown="0" showInputMessage="1" showErrorMessage="1" allowBlank="1" errorTitle="Valor inválido" error="Escolha uma opção da lista." promptTitle="Lista de opções" prompt="Selecione a categoria do pagamento." type="list">
      <formula1>=lista_categorias_pagamento</formula1>
    </dataValidation>
    <dataValidation sqref="E9:E38" showDropDown="0" showInputMessage="1" showErrorMessage="1" allowBlank="1" errorTitle="Valor inválido" error="Escolha uma opção da lista." promptTitle="Lista de opções" prompt="Selecione Titular ou Dependente." type="list">
      <formula1>=lista_titular_dependente</formula1>
    </dataValidation>
    <dataValidation sqref="J9:J38" showDropDown="0" showInputMessage="1" showErrorMessage="1" allowBlank="1" errorTitle="Valor inválido" error="Escolha uma opção da lista." promptTitle="Lista de opções" prompt="Selecione o andamento da conferência." type="list">
      <formula1>=lista_status_documento</formula1>
    </dataValidation>
    <dataValidation sqref="F9:G38" showDropDown="0" showInputMessage="0" showErrorMessage="1" allowBlank="1" errorTitle="Valor inválido" error="Digite um valor igual ou maior que zero." type="decimal" operator="greaterThanOrEqual">
      <formula1>0</formula1>
    </dataValidation>
  </dataValidations>
  <hyperlinks>
    <hyperlink ref="A2" ns1:id="rId1"/>
    <hyperlink ref="B2" ns1:id="rId2"/>
    <hyperlink ref="C2" ns1:id="rId3"/>
    <hyperlink ref="D2" ns1:id="rId4"/>
    <hyperlink ref="E2" ns1:id="rId5"/>
    <hyperlink ref="F2" ns1:id="rId6"/>
    <hyperlink ref="G2" ns1:id="rId7"/>
    <hyperlink ref="H2" ns1:id="rId8"/>
    <hyperlink ref="I2" ns1:id="rId9"/>
  </hyperlinks>
  <pageMargins left="0.25" right="0.25" top="0.4" bottom="0.4" header="0.5" footer="0.5"/>
  <pageSetup fitToHeight="0" fitToWidth="1"/>
  <headerFooter>
    <oddHeader/>
    <oddFooter>&amp;C&amp;8 &amp;K64748BIR Panorama • 0Barone (@gabrielnasciimentoleandro-arch)</oddFooter>
    <evenHeader/>
    <evenFooter/>
    <firstHeader/>
    <firstFooter/>
  </headerFooter>
  <tableParts count="1">
    <tablePart ns1:id="rId10"/>
  </tableParts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L38"/>
  <sheetViews>
    <sheetView showGridLines="0" zoomScale="80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3" customWidth="1" min="1" max="1"/>
    <col width="20" customWidth="1" min="2" max="2"/>
    <col width="28" customWidth="1" min="3" max="3"/>
    <col width="20" customWidth="1" min="4" max="4"/>
    <col width="27" customWidth="1" min="5" max="5"/>
    <col width="31" customWidth="1" min="6" max="6"/>
    <col width="16" customWidth="1" min="7" max="7"/>
    <col width="16" customWidth="1" min="8" max="8"/>
    <col width="32" customWidth="1" min="9" max="9"/>
    <col width="14" customWidth="1" min="10" max="10"/>
    <col width="14" customWidth="1" min="11" max="11"/>
    <col width="14" customWidth="1" min="12" max="12"/>
  </cols>
  <sheetData>
    <row r="1" ht="24" customHeight="1">
      <c r="A1" s="1" t="inlineStr">
        <is>
          <t>INFORMES</t>
        </is>
      </c>
      <c r="I1" s="2" t="inlineStr">
        <is>
          <t>PROJETO AUTORAL • DADOS FICTÍCIOS</t>
        </is>
      </c>
    </row>
    <row r="2" ht="24" customHeight="1">
      <c r="A2" s="4" t="inlineStr">
        <is>
          <t>INÍCIO</t>
        </is>
      </c>
      <c r="B2" s="4" t="inlineStr">
        <is>
          <t>TITULAR</t>
        </is>
      </c>
      <c r="C2" s="4" t="inlineStr">
        <is>
          <t>DEPENDENTES</t>
        </is>
      </c>
      <c r="D2" s="4" t="inlineStr">
        <is>
          <t>RENDIMENTOS</t>
        </is>
      </c>
      <c r="E2" s="4" t="inlineStr">
        <is>
          <t>BENS</t>
        </is>
      </c>
      <c r="F2" s="4" t="inlineStr">
        <is>
          <t>PAGAMENTOS</t>
        </is>
      </c>
      <c r="G2" s="3" t="inlineStr">
        <is>
          <t>INFORMES</t>
        </is>
      </c>
      <c r="H2" s="4" t="inlineStr">
        <is>
          <t>NOTAS</t>
        </is>
      </c>
      <c r="I2" s="4" t="inlineStr">
        <is>
          <t>GUIA</t>
        </is>
      </c>
      <c r="J2" s="5" t="n"/>
      <c r="K2" s="5" t="n"/>
      <c r="L2" s="5" t="n"/>
    </row>
    <row r="3" ht="24" customHeight="1">
      <c r="A3" s="6" t="inlineStr">
        <is>
          <t>Use esta tela como checklist central dos documentos necessários para a revisão.</t>
        </is>
      </c>
    </row>
    <row r="5" ht="25" customHeight="1">
      <c r="A5" s="7" t="inlineStr">
        <is>
          <t>REGISTROS — 8 EXEMPLO(S) FICTÍCIO(S) PREENCHIDO(S)</t>
        </is>
      </c>
    </row>
    <row r="6">
      <c r="A6" s="39" t="inlineStr">
        <is>
          <t>Adicione novas linhas dentro da tabela. Células azul-claro são editáveis; colunas cinza contêm fórmulas.</t>
        </is>
      </c>
    </row>
    <row r="8" ht="36" customHeight="1">
      <c r="A8" s="40" t="inlineStr">
        <is>
          <t>ID</t>
        </is>
      </c>
      <c r="B8" s="40" t="inlineStr">
        <is>
          <t>Categoria</t>
        </is>
      </c>
      <c r="C8" s="40" t="inlineStr">
        <is>
          <t>Fonte/Instituição</t>
        </is>
      </c>
      <c r="D8" s="40" t="inlineStr">
        <is>
          <t>Identificador</t>
        </is>
      </c>
      <c r="E8" s="40" t="inlineStr">
        <is>
          <t>Documento esperado</t>
        </is>
      </c>
      <c r="F8" s="40" t="inlineStr">
        <is>
          <t>Arquivo/Local</t>
        </is>
      </c>
      <c r="G8" s="40" t="inlineStr">
        <is>
          <t>Recebido em</t>
        </is>
      </c>
      <c r="H8" s="40" t="inlineStr">
        <is>
          <t>Status</t>
        </is>
      </c>
      <c r="I8" s="40" t="inlineStr">
        <is>
          <t>Observações</t>
        </is>
      </c>
    </row>
    <row r="9" ht="30" customHeight="1">
      <c r="A9" s="32" t="inlineStr">
        <is>
          <t>INF-001</t>
        </is>
      </c>
      <c r="B9" s="32" t="inlineStr">
        <is>
          <t>Rendimentos</t>
        </is>
      </c>
      <c r="C9" s="32" t="inlineStr">
        <is>
          <t>Empresa Horizonte Ltda.</t>
        </is>
      </c>
      <c r="D9" s="32" t="inlineStr">
        <is>
          <t>00.000.000/0001-00</t>
        </is>
      </c>
      <c r="E9" s="32" t="inlineStr">
        <is>
          <t>Informe de rendimentos</t>
        </is>
      </c>
      <c r="F9" s="32" t="inlineStr">
        <is>
          <t>docs/informe_empresa_2025.pdf</t>
        </is>
      </c>
      <c r="G9" s="35" t="n">
        <v>46063</v>
      </c>
      <c r="H9" s="32" t="inlineStr">
        <is>
          <t>Conferido</t>
        </is>
      </c>
      <c r="I9" s="32" t="inlineStr">
        <is>
          <t>Exemplo fictício</t>
        </is>
      </c>
    </row>
    <row r="10" ht="30" customHeight="1">
      <c r="A10" s="32" t="inlineStr">
        <is>
          <t>INF-002</t>
        </is>
      </c>
      <c r="B10" s="32" t="inlineStr">
        <is>
          <t>Bancos</t>
        </is>
      </c>
      <c r="C10" s="32" t="inlineStr">
        <is>
          <t>Banco Aurora S.A.</t>
        </is>
      </c>
      <c r="D10" s="32" t="inlineStr">
        <is>
          <t>00.000.000/0002-00</t>
        </is>
      </c>
      <c r="E10" s="32" t="inlineStr">
        <is>
          <t>Informe bancário</t>
        </is>
      </c>
      <c r="F10" s="32" t="inlineStr">
        <is>
          <t>docs/informe_banco_2025.pdf</t>
        </is>
      </c>
      <c r="G10" s="35" t="n">
        <v>46065</v>
      </c>
      <c r="H10" s="32" t="inlineStr">
        <is>
          <t>Conferido</t>
        </is>
      </c>
      <c r="I10" s="32" t="inlineStr">
        <is>
          <t>Exemplo fictício</t>
        </is>
      </c>
    </row>
    <row r="11" ht="30" customHeight="1">
      <c r="A11" s="32" t="inlineStr">
        <is>
          <t>INF-003</t>
        </is>
      </c>
      <c r="B11" s="32" t="inlineStr">
        <is>
          <t>Investimentos</t>
        </is>
      </c>
      <c r="C11" s="32" t="inlineStr">
        <is>
          <t>Corretora Modelo S.A.</t>
        </is>
      </c>
      <c r="D11" s="32" t="inlineStr">
        <is>
          <t>00.000.000/0003-00</t>
        </is>
      </c>
      <c r="E11" s="32" t="inlineStr">
        <is>
          <t>Informe da corretora</t>
        </is>
      </c>
      <c r="F11" s="32" t="inlineStr">
        <is>
          <t>docs/informe_corretora_2025.pdf</t>
        </is>
      </c>
      <c r="G11" s="35" t="n">
        <v>46071</v>
      </c>
      <c r="H11" s="32" t="inlineStr">
        <is>
          <t>Recebido</t>
        </is>
      </c>
      <c r="I11" s="32" t="inlineStr">
        <is>
          <t>Conferir classificação</t>
        </is>
      </c>
    </row>
    <row r="12" ht="30" customHeight="1">
      <c r="A12" s="32" t="inlineStr">
        <is>
          <t>INF-004</t>
        </is>
      </c>
      <c r="B12" s="32" t="inlineStr">
        <is>
          <t>Saúde</t>
        </is>
      </c>
      <c r="C12" s="32" t="inlineStr">
        <is>
          <t>Saúde Modelo S.A.</t>
        </is>
      </c>
      <c r="D12" s="32" t="inlineStr">
        <is>
          <t>00.000.000/0004-00</t>
        </is>
      </c>
      <c r="E12" s="32" t="inlineStr">
        <is>
          <t>Informe do plano</t>
        </is>
      </c>
      <c r="F12" s="32" t="inlineStr">
        <is>
          <t>docs/informe_saude_2025.pdf</t>
        </is>
      </c>
      <c r="G12" s="35" t="n">
        <v>46068</v>
      </c>
      <c r="H12" s="32" t="inlineStr">
        <is>
          <t>Conferido</t>
        </is>
      </c>
      <c r="I12" s="32" t="inlineStr">
        <is>
          <t>Exemplo fictício</t>
        </is>
      </c>
    </row>
    <row r="13" ht="30" customHeight="1">
      <c r="A13" s="32" t="inlineStr">
        <is>
          <t>INF-005</t>
        </is>
      </c>
      <c r="B13" s="32" t="inlineStr">
        <is>
          <t>Saúde</t>
        </is>
      </c>
      <c r="C13" s="32" t="inlineStr">
        <is>
          <t>Clínica Exemplo</t>
        </is>
      </c>
      <c r="D13" s="32" t="inlineStr">
        <is>
          <t>00.000.000/0005-00</t>
        </is>
      </c>
      <c r="E13" s="32" t="inlineStr">
        <is>
          <t>Recibos e reembolsos</t>
        </is>
      </c>
      <c r="F13" s="32" t="inlineStr">
        <is>
          <t>docs/recibos_dentista.pdf</t>
        </is>
      </c>
      <c r="G13" s="35" t="n">
        <v>46073</v>
      </c>
      <c r="H13" s="32" t="inlineStr">
        <is>
          <t>Recebido</t>
        </is>
      </c>
      <c r="I13" s="32" t="inlineStr">
        <is>
          <t>Conferir reembolso</t>
        </is>
      </c>
    </row>
    <row r="14" ht="30" customHeight="1">
      <c r="A14" s="32" t="inlineStr">
        <is>
          <t>INF-006</t>
        </is>
      </c>
      <c r="B14" s="32" t="inlineStr">
        <is>
          <t>Educação</t>
        </is>
      </c>
      <c r="C14" s="32" t="inlineStr">
        <is>
          <t>Escola Demonstração</t>
        </is>
      </c>
      <c r="D14" s="32" t="inlineStr">
        <is>
          <t>00.000.000/0006-00</t>
        </is>
      </c>
      <c r="E14" s="32" t="inlineStr">
        <is>
          <t>Comprovante anual</t>
        </is>
      </c>
      <c r="F14" s="32" t="inlineStr">
        <is>
          <t>docs/comprovante_escolar.pdf</t>
        </is>
      </c>
      <c r="G14" s="35" t="n"/>
      <c r="H14" s="32" t="inlineStr">
        <is>
          <t>Pendente</t>
        </is>
      </c>
      <c r="I14" s="32" t="inlineStr">
        <is>
          <t>Solicitar à instituição</t>
        </is>
      </c>
    </row>
    <row r="15" ht="30" customHeight="1">
      <c r="A15" s="32" t="inlineStr">
        <is>
          <t>INF-007</t>
        </is>
      </c>
      <c r="B15" s="32" t="inlineStr">
        <is>
          <t>Previdência</t>
        </is>
      </c>
      <c r="C15" s="32" t="inlineStr">
        <is>
          <t>INSS — exemplo</t>
        </is>
      </c>
      <c r="D15" s="32" t="inlineStr">
        <is>
          <t>N/A</t>
        </is>
      </c>
      <c r="E15" s="32" t="inlineStr">
        <is>
          <t>Extrato previdenciário</t>
        </is>
      </c>
      <c r="F15" s="32" t="inlineStr">
        <is>
          <t>docs/extrato_inss.pdf</t>
        </is>
      </c>
      <c r="G15" s="35" t="n">
        <v>46067</v>
      </c>
      <c r="H15" s="32" t="inlineStr">
        <is>
          <t>Conferido</t>
        </is>
      </c>
      <c r="I15" s="32" t="inlineStr">
        <is>
          <t>Exemplo fictício</t>
        </is>
      </c>
    </row>
    <row r="16" ht="30" customHeight="1">
      <c r="A16" s="32" t="inlineStr">
        <is>
          <t>INF-008</t>
        </is>
      </c>
      <c r="B16" s="32" t="inlineStr">
        <is>
          <t>Bens e direitos</t>
        </is>
      </c>
      <c r="C16" s="32" t="inlineStr">
        <is>
          <t>Órgão de trânsito — exemplo</t>
        </is>
      </c>
      <c r="D16" s="32" t="inlineStr">
        <is>
          <t>N/A</t>
        </is>
      </c>
      <c r="E16" s="32" t="inlineStr">
        <is>
          <t>Documento do veículo</t>
        </is>
      </c>
      <c r="F16" s="32" t="inlineStr">
        <is>
          <t>docs/documento_veiculo.pdf</t>
        </is>
      </c>
      <c r="G16" s="35" t="n">
        <v>46050</v>
      </c>
      <c r="H16" s="32" t="inlineStr">
        <is>
          <t>Conferido</t>
        </is>
      </c>
      <c r="I16" s="32" t="inlineStr">
        <is>
          <t>Exemplo fictício</t>
        </is>
      </c>
    </row>
    <row r="17" ht="30" customHeight="1">
      <c r="A17" s="32" t="n"/>
      <c r="B17" s="32" t="n"/>
      <c r="C17" s="32" t="n"/>
      <c r="D17" s="32" t="n"/>
      <c r="E17" s="32" t="n"/>
      <c r="F17" s="32" t="n"/>
      <c r="G17" s="35" t="n"/>
      <c r="H17" s="32" t="n"/>
      <c r="I17" s="32" t="n"/>
    </row>
    <row r="18" ht="30" customHeight="1">
      <c r="A18" s="32" t="n"/>
      <c r="B18" s="32" t="n"/>
      <c r="C18" s="32" t="n"/>
      <c r="D18" s="32" t="n"/>
      <c r="E18" s="32" t="n"/>
      <c r="F18" s="32" t="n"/>
      <c r="G18" s="35" t="n"/>
      <c r="H18" s="32" t="n"/>
      <c r="I18" s="32" t="n"/>
    </row>
    <row r="19" ht="30" customHeight="1">
      <c r="A19" s="32" t="n"/>
      <c r="B19" s="32" t="n"/>
      <c r="C19" s="32" t="n"/>
      <c r="D19" s="32" t="n"/>
      <c r="E19" s="32" t="n"/>
      <c r="F19" s="32" t="n"/>
      <c r="G19" s="35" t="n"/>
      <c r="H19" s="32" t="n"/>
      <c r="I19" s="32" t="n"/>
    </row>
    <row r="20" ht="30" customHeight="1">
      <c r="A20" s="32" t="n"/>
      <c r="B20" s="32" t="n"/>
      <c r="C20" s="32" t="n"/>
      <c r="D20" s="32" t="n"/>
      <c r="E20" s="32" t="n"/>
      <c r="F20" s="32" t="n"/>
      <c r="G20" s="35" t="n"/>
      <c r="H20" s="32" t="n"/>
      <c r="I20" s="32" t="n"/>
    </row>
    <row r="21" ht="30" customHeight="1">
      <c r="A21" s="32" t="n"/>
      <c r="B21" s="32" t="n"/>
      <c r="C21" s="32" t="n"/>
      <c r="D21" s="32" t="n"/>
      <c r="E21" s="32" t="n"/>
      <c r="F21" s="32" t="n"/>
      <c r="G21" s="35" t="n"/>
      <c r="H21" s="32" t="n"/>
      <c r="I21" s="32" t="n"/>
    </row>
    <row r="22" ht="30" customHeight="1">
      <c r="A22" s="32" t="n"/>
      <c r="B22" s="32" t="n"/>
      <c r="C22" s="32" t="n"/>
      <c r="D22" s="32" t="n"/>
      <c r="E22" s="32" t="n"/>
      <c r="F22" s="32" t="n"/>
      <c r="G22" s="35" t="n"/>
      <c r="H22" s="32" t="n"/>
      <c r="I22" s="32" t="n"/>
    </row>
    <row r="23" ht="30" customHeight="1">
      <c r="A23" s="32" t="n"/>
      <c r="B23" s="32" t="n"/>
      <c r="C23" s="32" t="n"/>
      <c r="D23" s="32" t="n"/>
      <c r="E23" s="32" t="n"/>
      <c r="F23" s="32" t="n"/>
      <c r="G23" s="35" t="n"/>
      <c r="H23" s="32" t="n"/>
      <c r="I23" s="32" t="n"/>
    </row>
    <row r="24" ht="30" customHeight="1">
      <c r="A24" s="32" t="n"/>
      <c r="B24" s="32" t="n"/>
      <c r="C24" s="32" t="n"/>
      <c r="D24" s="32" t="n"/>
      <c r="E24" s="32" t="n"/>
      <c r="F24" s="32" t="n"/>
      <c r="G24" s="35" t="n"/>
      <c r="H24" s="32" t="n"/>
      <c r="I24" s="32" t="n"/>
    </row>
    <row r="25" ht="30" customHeight="1">
      <c r="A25" s="32" t="n"/>
      <c r="B25" s="32" t="n"/>
      <c r="C25" s="32" t="n"/>
      <c r="D25" s="32" t="n"/>
      <c r="E25" s="32" t="n"/>
      <c r="F25" s="32" t="n"/>
      <c r="G25" s="35" t="n"/>
      <c r="H25" s="32" t="n"/>
      <c r="I25" s="32" t="n"/>
    </row>
    <row r="26" ht="30" customHeight="1">
      <c r="A26" s="32" t="n"/>
      <c r="B26" s="32" t="n"/>
      <c r="C26" s="32" t="n"/>
      <c r="D26" s="32" t="n"/>
      <c r="E26" s="32" t="n"/>
      <c r="F26" s="32" t="n"/>
      <c r="G26" s="35" t="n"/>
      <c r="H26" s="32" t="n"/>
      <c r="I26" s="32" t="n"/>
    </row>
    <row r="27" ht="30" customHeight="1">
      <c r="A27" s="32" t="n"/>
      <c r="B27" s="32" t="n"/>
      <c r="C27" s="32" t="n"/>
      <c r="D27" s="32" t="n"/>
      <c r="E27" s="32" t="n"/>
      <c r="F27" s="32" t="n"/>
      <c r="G27" s="35" t="n"/>
      <c r="H27" s="32" t="n"/>
      <c r="I27" s="32" t="n"/>
    </row>
    <row r="28" ht="30" customHeight="1">
      <c r="A28" s="32" t="n"/>
      <c r="B28" s="32" t="n"/>
      <c r="C28" s="32" t="n"/>
      <c r="D28" s="32" t="n"/>
      <c r="E28" s="32" t="n"/>
      <c r="F28" s="32" t="n"/>
      <c r="G28" s="35" t="n"/>
      <c r="H28" s="32" t="n"/>
      <c r="I28" s="32" t="n"/>
    </row>
    <row r="29" ht="30" customHeight="1">
      <c r="A29" s="32" t="n"/>
      <c r="B29" s="32" t="n"/>
      <c r="C29" s="32" t="n"/>
      <c r="D29" s="32" t="n"/>
      <c r="E29" s="32" t="n"/>
      <c r="F29" s="32" t="n"/>
      <c r="G29" s="35" t="n"/>
      <c r="H29" s="32" t="n"/>
      <c r="I29" s="32" t="n"/>
    </row>
    <row r="30" ht="30" customHeight="1">
      <c r="A30" s="32" t="n"/>
      <c r="B30" s="32" t="n"/>
      <c r="C30" s="32" t="n"/>
      <c r="D30" s="32" t="n"/>
      <c r="E30" s="32" t="n"/>
      <c r="F30" s="32" t="n"/>
      <c r="G30" s="35" t="n"/>
      <c r="H30" s="32" t="n"/>
      <c r="I30" s="32" t="n"/>
    </row>
    <row r="31" ht="30" customHeight="1">
      <c r="A31" s="32" t="n"/>
      <c r="B31" s="32" t="n"/>
      <c r="C31" s="32" t="n"/>
      <c r="D31" s="32" t="n"/>
      <c r="E31" s="32" t="n"/>
      <c r="F31" s="32" t="n"/>
      <c r="G31" s="35" t="n"/>
      <c r="H31" s="32" t="n"/>
      <c r="I31" s="32" t="n"/>
    </row>
    <row r="32" ht="30" customHeight="1">
      <c r="A32" s="32" t="n"/>
      <c r="B32" s="32" t="n"/>
      <c r="C32" s="32" t="n"/>
      <c r="D32" s="32" t="n"/>
      <c r="E32" s="32" t="n"/>
      <c r="F32" s="32" t="n"/>
      <c r="G32" s="35" t="n"/>
      <c r="H32" s="32" t="n"/>
      <c r="I32" s="32" t="n"/>
    </row>
    <row r="33" ht="30" customHeight="1">
      <c r="A33" s="32" t="n"/>
      <c r="B33" s="32" t="n"/>
      <c r="C33" s="32" t="n"/>
      <c r="D33" s="32" t="n"/>
      <c r="E33" s="32" t="n"/>
      <c r="F33" s="32" t="n"/>
      <c r="G33" s="35" t="n"/>
      <c r="H33" s="32" t="n"/>
      <c r="I33" s="32" t="n"/>
    </row>
    <row r="34" ht="30" customHeight="1">
      <c r="A34" s="32" t="n"/>
      <c r="B34" s="32" t="n"/>
      <c r="C34" s="32" t="n"/>
      <c r="D34" s="32" t="n"/>
      <c r="E34" s="32" t="n"/>
      <c r="F34" s="32" t="n"/>
      <c r="G34" s="35" t="n"/>
      <c r="H34" s="32" t="n"/>
      <c r="I34" s="32" t="n"/>
    </row>
    <row r="35" ht="30" customHeight="1">
      <c r="A35" s="32" t="n"/>
      <c r="B35" s="32" t="n"/>
      <c r="C35" s="32" t="n"/>
      <c r="D35" s="32" t="n"/>
      <c r="E35" s="32" t="n"/>
      <c r="F35" s="32" t="n"/>
      <c r="G35" s="35" t="n"/>
      <c r="H35" s="32" t="n"/>
      <c r="I35" s="32" t="n"/>
    </row>
    <row r="36" ht="30" customHeight="1">
      <c r="A36" s="32" t="n"/>
      <c r="B36" s="32" t="n"/>
      <c r="C36" s="32" t="n"/>
      <c r="D36" s="32" t="n"/>
      <c r="E36" s="32" t="n"/>
      <c r="F36" s="32" t="n"/>
      <c r="G36" s="35" t="n"/>
      <c r="H36" s="32" t="n"/>
      <c r="I36" s="32" t="n"/>
    </row>
    <row r="37" ht="30" customHeight="1">
      <c r="A37" s="32" t="n"/>
      <c r="B37" s="32" t="n"/>
      <c r="C37" s="32" t="n"/>
      <c r="D37" s="32" t="n"/>
      <c r="E37" s="32" t="n"/>
      <c r="F37" s="32" t="n"/>
      <c r="G37" s="35" t="n"/>
      <c r="H37" s="32" t="n"/>
      <c r="I37" s="32" t="n"/>
    </row>
    <row r="38" ht="30" customHeight="1">
      <c r="A38" s="32" t="n"/>
      <c r="B38" s="32" t="n"/>
      <c r="C38" s="32" t="n"/>
      <c r="D38" s="32" t="n"/>
      <c r="E38" s="32" t="n"/>
      <c r="F38" s="32" t="n"/>
      <c r="G38" s="35" t="n"/>
      <c r="H38" s="32" t="n"/>
      <c r="I38" s="32" t="n"/>
    </row>
  </sheetData>
  <autoFilter ref="A8:I38"/>
  <mergeCells count="5">
    <mergeCell ref="I1:L1"/>
    <mergeCell ref="A5:I5"/>
    <mergeCell ref="A6:I6"/>
    <mergeCell ref="A1:H1"/>
    <mergeCell ref="A3:L3"/>
  </mergeCells>
  <conditionalFormatting sqref="H9:H38">
    <cfRule type="expression" priority="1" dxfId="2">
      <formula>$H9="Conferido"</formula>
    </cfRule>
    <cfRule type="expression" priority="2" dxfId="3">
      <formula>$H9="Recebido"</formula>
    </cfRule>
    <cfRule type="expression" priority="3" dxfId="4">
      <formula>$H9="Pendente"</formula>
    </cfRule>
    <cfRule type="expression" priority="4" dxfId="5">
      <formula>$H9="Não se aplica"</formula>
    </cfRule>
  </conditionalFormatting>
  <dataValidations count="3">
    <dataValidation sqref="B9:B38" showDropDown="0" showInputMessage="1" showErrorMessage="1" allowBlank="1" errorTitle="Valor inválido" error="Escolha uma opção da lista." promptTitle="Lista de opções" prompt="Selecione a categoria do informe." type="list">
      <formula1>=lista_categorias_informe</formula1>
    </dataValidation>
    <dataValidation sqref="H9:H38" showDropDown="0" showInputMessage="1" showErrorMessage="1" allowBlank="1" errorTitle="Valor inválido" error="Escolha uma opção da lista." promptTitle="Lista de opções" prompt="Atualize o status do documento." type="list">
      <formula1>=lista_status_documento</formula1>
    </dataValidation>
    <dataValidation sqref="G9:G38" showDropDown="0" showInputMessage="0" showErrorMessage="1" allowBlank="1" errorTitle="Data inválida" error="Informe uma data entre 2025 e 2028." type="date" operator="between">
      <formula1>DATE(2025,1,1)</formula1>
      <formula2>DATE(2028,12,31)</formula2>
    </dataValidation>
  </dataValidations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C2" r:id="rId3"/>
    <hyperlink xmlns:r="http://schemas.openxmlformats.org/officeDocument/2006/relationships" ref="D2" r:id="rId4"/>
    <hyperlink xmlns:r="http://schemas.openxmlformats.org/officeDocument/2006/relationships" ref="E2" r:id="rId5"/>
    <hyperlink xmlns:r="http://schemas.openxmlformats.org/officeDocument/2006/relationships" ref="F2" r:id="rId6"/>
    <hyperlink xmlns:r="http://schemas.openxmlformats.org/officeDocument/2006/relationships" ref="G2" r:id="rId7"/>
    <hyperlink xmlns:r="http://schemas.openxmlformats.org/officeDocument/2006/relationships" ref="H2" r:id="rId8"/>
    <hyperlink xmlns:r="http://schemas.openxmlformats.org/officeDocument/2006/relationships" ref="I2" r:id="rId9"/>
  </hyperlinks>
  <pageMargins left="0.25" right="0.25" top="0.4" bottom="0.4" header="0.5" footer="0.5"/>
  <pageSetup fitToHeight="0" fitToWidth="1"/>
  <headerFooter>
    <oddHeader/>
    <oddFooter>&amp;C&amp;8 &amp;K64748BIR Panorama • 0Barone (@gabrielnasciimentoleandro-arch)</oddFooter>
    <evenHeader/>
    <evenFooter/>
    <firstHeader/>
    <firstFooter/>
  </headerFooter>
  <tableParts count="1">
    <tablePart xmlns:r="http://schemas.openxmlformats.org/officeDocument/2006/relationships" r:id="rId10"/>
  </tableParts>
</worksheet>
</file>

<file path=xl/worksheets/sheet8.xml><?xml version="1.0" encoding="utf-8"?>
<worksheet xmlns="http://schemas.openxmlformats.org/spreadsheetml/2006/main" xmlns:ns1="http://schemas.openxmlformats.org/officeDocument/2006/relationships">
  <sheetPr>
    <outlinePr summaryBelow="1" summaryRight="1"/>
    <pageSetUpPr fitToPage="1"/>
  </sheetPr>
  <dimension ref="A1:L38"/>
  <sheetViews>
    <sheetView showGridLines="0" zoomScale="80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3" customWidth="1" min="1" max="1"/>
    <col width="18" customWidth="1" min="2" max="2"/>
    <col width="29" customWidth="1" min="3" max="3"/>
    <col width="42" customWidth="1" min="4" max="4"/>
    <col width="14" customWidth="1" min="5" max="5"/>
    <col width="16" customWidth="1" min="6" max="6"/>
    <col width="17" customWidth="1" min="7" max="7"/>
    <col width="17" customWidth="1" min="8" max="8"/>
    <col width="18" customWidth="1" min="9" max="9"/>
    <col width="14" customWidth="1" min="10" max="10"/>
    <col width="14" customWidth="1" min="11" max="11"/>
    <col width="14" customWidth="1" min="12" max="12"/>
  </cols>
  <sheetData>
    <row r="1" ht="24" customHeight="1">
      <c r="A1" s="1" t="inlineStr">
        <is>
          <t>NOTAS E PENDÊNCIAS</t>
        </is>
      </c>
      <c r="I1" s="2" t="inlineStr">
        <is>
          <t>PROJETO AUTORAL • DADOS FICTÍCIOS</t>
        </is>
      </c>
    </row>
    <row r="2" ht="24" customHeight="1">
      <c r="A2" s="4" t="inlineStr">
        <is>
          <t>INÍCIO</t>
        </is>
      </c>
      <c r="B2" s="4" t="inlineStr">
        <is>
          <t>TITULAR</t>
        </is>
      </c>
      <c r="C2" s="4" t="inlineStr">
        <is>
          <t>DEPENDENTES</t>
        </is>
      </c>
      <c r="D2" s="4" t="inlineStr">
        <is>
          <t>RENDIMENTOS</t>
        </is>
      </c>
      <c r="E2" s="4" t="inlineStr">
        <is>
          <t>BENS</t>
        </is>
      </c>
      <c r="F2" s="4" t="inlineStr">
        <is>
          <t>PAGAMENTOS</t>
        </is>
      </c>
      <c r="G2" s="4" t="inlineStr">
        <is>
          <t>INFORMES</t>
        </is>
      </c>
      <c r="H2" s="3" t="inlineStr">
        <is>
          <t>NOTAS</t>
        </is>
      </c>
      <c r="I2" s="4" t="inlineStr">
        <is>
          <t>GUIA</t>
        </is>
      </c>
      <c r="J2" s="5" t="n"/>
      <c r="K2" s="5" t="n"/>
      <c r="L2" s="5" t="n"/>
    </row>
    <row r="3" ht="24" customHeight="1">
      <c r="A3" s="6" t="inlineStr">
        <is>
          <t>Organize ações de conferência com prioridade, prazo e alerta automático.</t>
        </is>
      </c>
    </row>
    <row r="5" ht="25" customHeight="1">
      <c r="A5" s="7" t="inlineStr">
        <is>
          <t>REGISTROS — 3 EXEMPLO(S) FICTÍCIO(S) PREENCHIDO(S)</t>
        </is>
      </c>
    </row>
    <row r="6">
      <c r="A6" s="39" t="inlineStr">
        <is>
          <t>Adicione novas linhas dentro da tabela. Células azul-claro são editáveis; colunas cinza contêm fórmulas.</t>
        </is>
      </c>
    </row>
    <row r="8" ht="36" customHeight="1">
      <c r="A8" s="40" t="inlineStr">
        <is>
          <t>ID</t>
        </is>
      </c>
      <c r="B8" s="40" t="inlineStr">
        <is>
          <t>Categoria</t>
        </is>
      </c>
      <c r="C8" s="40" t="inlineStr">
        <is>
          <t>Assunto</t>
        </is>
      </c>
      <c r="D8" s="40" t="inlineStr">
        <is>
          <t>Nota</t>
        </is>
      </c>
      <c r="E8" s="40" t="inlineStr">
        <is>
          <t>Prioridade</t>
        </is>
      </c>
      <c r="F8" s="40" t="inlineStr">
        <is>
          <t>Prazo</t>
        </is>
      </c>
      <c r="G8" s="40" t="inlineStr">
        <is>
          <t>Status</t>
        </is>
      </c>
      <c r="H8" s="40" t="inlineStr">
        <is>
          <t>Alerta</t>
        </is>
      </c>
      <c r="I8" s="40" t="inlineStr">
        <is>
          <t>Responsável</t>
        </is>
      </c>
    </row>
    <row r="9" ht="30" customHeight="1">
      <c r="A9" s="32" t="inlineStr">
        <is>
          <t>NOT-001</t>
        </is>
      </c>
      <c r="B9" s="32" t="inlineStr">
        <is>
          <t>Rendimento</t>
        </is>
      </c>
      <c r="C9" s="32" t="inlineStr">
        <is>
          <t>Conferir informe da corretora</t>
        </is>
      </c>
      <c r="D9" s="32" t="inlineStr">
        <is>
          <t>Validar a classificação antes da revisão final.</t>
        </is>
      </c>
      <c r="E9" s="32" t="inlineStr">
        <is>
          <t>Alta</t>
        </is>
      </c>
      <c r="F9" s="35" t="n">
        <v>46127</v>
      </c>
      <c r="G9" s="32" t="inlineStr">
        <is>
          <t>Em andamento</t>
        </is>
      </c>
      <c r="H9" s="43" t="str">
        <f>IF(A9="","",IF(G9="Concluída","OK",IF(AND(F9&lt;&gt;"",F9&lt;TODAY()),"ATRASADA","ABERTA")))</f>
        <v>ATRASADA</v>
      </c>
      <c r="I9" s="32" t="inlineStr">
        <is>
          <t>Titular</t>
        </is>
      </c>
    </row>
    <row r="10" ht="30" customHeight="1">
      <c r="A10" s="32" t="inlineStr">
        <is>
          <t>NOT-002</t>
        </is>
      </c>
      <c r="B10" s="32" t="inlineStr">
        <is>
          <t>Informe</t>
        </is>
      </c>
      <c r="C10" s="32" t="inlineStr">
        <is>
          <t>Solicitar comprovante escolar</t>
        </is>
      </c>
      <c r="D10" s="32" t="inlineStr">
        <is>
          <t>Pedir o documento anual à instituição.</t>
        </is>
      </c>
      <c r="E10" s="32" t="inlineStr">
        <is>
          <t>Alta</t>
        </is>
      </c>
      <c r="F10" s="35" t="n">
        <v>46132</v>
      </c>
      <c r="G10" s="32" t="inlineStr">
        <is>
          <t>Aberta</t>
        </is>
      </c>
      <c r="H10" s="43" t="str">
        <f>IF(A10="","",IF(G10="Concluída","OK",IF(AND(F10&lt;&gt;"",F10&lt;TODAY()),"ATRASADA","ABERTA")))</f>
        <v>ATRASADA</v>
      </c>
      <c r="I10" s="32" t="inlineStr">
        <is>
          <t>Titular</t>
        </is>
      </c>
    </row>
    <row r="11" ht="30" customHeight="1">
      <c r="A11" s="32" t="inlineStr">
        <is>
          <t>NOT-003</t>
        </is>
      </c>
      <c r="B11" s="32" t="inlineStr">
        <is>
          <t>Titular</t>
        </is>
      </c>
      <c r="C11" s="32" t="inlineStr">
        <is>
          <t>Revisar dados cadastrais</t>
        </is>
      </c>
      <c r="D11" s="32" t="inlineStr">
        <is>
          <t>Confirmar endereço e telefone da cópia privada.</t>
        </is>
      </c>
      <c r="E11" s="32" t="inlineStr">
        <is>
          <t>Média</t>
        </is>
      </c>
      <c r="F11" s="35" t="n">
        <v>46137</v>
      </c>
      <c r="G11" s="32" t="inlineStr">
        <is>
          <t>Concluída</t>
        </is>
      </c>
      <c r="H11" s="43" t="str">
        <f>IF(A11="","",IF(G11="Concluída","OK",IF(AND(F11&lt;&gt;"",F11&lt;TODAY()),"ATRASADA","ABERTA")))</f>
        <v>OK</v>
      </c>
      <c r="I11" s="32" t="inlineStr">
        <is>
          <t>Titular</t>
        </is>
      </c>
    </row>
    <row r="12" ht="30" customHeight="1">
      <c r="A12" s="32" t="n"/>
      <c r="B12" s="32" t="n"/>
      <c r="C12" s="32" t="n"/>
      <c r="D12" s="32" t="n"/>
      <c r="E12" s="32" t="n"/>
      <c r="F12" s="35" t="n"/>
      <c r="G12" s="32" t="n"/>
      <c r="H12" s="43">
        <f>IF(A12="","",IF(G12="Concluída","OK",IF(AND(F12&lt;&gt;"",F12&lt;TODAY()),"ATRASADA","ABERTA")))</f>
        <v/>
      </c>
      <c r="I12" s="32" t="n"/>
    </row>
    <row r="13" ht="30" customHeight="1">
      <c r="A13" s="32" t="n"/>
      <c r="B13" s="32" t="n"/>
      <c r="C13" s="32" t="n"/>
      <c r="D13" s="32" t="n"/>
      <c r="E13" s="32" t="n"/>
      <c r="F13" s="35" t="n"/>
      <c r="G13" s="32" t="n"/>
      <c r="H13" s="43">
        <f>IF(A13="","",IF(G13="Concluída","OK",IF(AND(F13&lt;&gt;"",F13&lt;TODAY()),"ATRASADA","ABERTA")))</f>
        <v/>
      </c>
      <c r="I13" s="32" t="n"/>
    </row>
    <row r="14" ht="30" customHeight="1">
      <c r="A14" s="32" t="n"/>
      <c r="B14" s="32" t="n"/>
      <c r="C14" s="32" t="n"/>
      <c r="D14" s="32" t="n"/>
      <c r="E14" s="32" t="n"/>
      <c r="F14" s="35" t="n"/>
      <c r="G14" s="32" t="n"/>
      <c r="H14" s="43">
        <f>IF(A14="","",IF(G14="Concluída","OK",IF(AND(F14&lt;&gt;"",F14&lt;TODAY()),"ATRASADA","ABERTA")))</f>
        <v/>
      </c>
      <c r="I14" s="32" t="n"/>
    </row>
    <row r="15" ht="30" customHeight="1">
      <c r="A15" s="32" t="n"/>
      <c r="B15" s="32" t="n"/>
      <c r="C15" s="32" t="n"/>
      <c r="D15" s="32" t="n"/>
      <c r="E15" s="32" t="n"/>
      <c r="F15" s="35" t="n"/>
      <c r="G15" s="32" t="n"/>
      <c r="H15" s="43">
        <f>IF(A15="","",IF(G15="Concluída","OK",IF(AND(F15&lt;&gt;"",F15&lt;TODAY()),"ATRASADA","ABERTA")))</f>
        <v/>
      </c>
      <c r="I15" s="32" t="n"/>
    </row>
    <row r="16" ht="30" customHeight="1">
      <c r="A16" s="32" t="n"/>
      <c r="B16" s="32" t="n"/>
      <c r="C16" s="32" t="n"/>
      <c r="D16" s="32" t="n"/>
      <c r="E16" s="32" t="n"/>
      <c r="F16" s="35" t="n"/>
      <c r="G16" s="32" t="n"/>
      <c r="H16" s="43">
        <f>IF(A16="","",IF(G16="Concluída","OK",IF(AND(F16&lt;&gt;"",F16&lt;TODAY()),"ATRASADA","ABERTA")))</f>
        <v/>
      </c>
      <c r="I16" s="32" t="n"/>
    </row>
    <row r="17" ht="30" customHeight="1">
      <c r="A17" s="32" t="n"/>
      <c r="B17" s="32" t="n"/>
      <c r="C17" s="32" t="n"/>
      <c r="D17" s="32" t="n"/>
      <c r="E17" s="32" t="n"/>
      <c r="F17" s="35" t="n"/>
      <c r="G17" s="32" t="n"/>
      <c r="H17" s="43">
        <f>IF(A17="","",IF(G17="Concluída","OK",IF(AND(F17&lt;&gt;"",F17&lt;TODAY()),"ATRASADA","ABERTA")))</f>
        <v/>
      </c>
      <c r="I17" s="32" t="n"/>
    </row>
    <row r="18" ht="30" customHeight="1">
      <c r="A18" s="32" t="n"/>
      <c r="B18" s="32" t="n"/>
      <c r="C18" s="32" t="n"/>
      <c r="D18" s="32" t="n"/>
      <c r="E18" s="32" t="n"/>
      <c r="F18" s="35" t="n"/>
      <c r="G18" s="32" t="n"/>
      <c r="H18" s="43">
        <f>IF(A18="","",IF(G18="Concluída","OK",IF(AND(F18&lt;&gt;"",F18&lt;TODAY()),"ATRASADA","ABERTA")))</f>
        <v/>
      </c>
      <c r="I18" s="32" t="n"/>
    </row>
    <row r="19" ht="30" customHeight="1">
      <c r="A19" s="32" t="n"/>
      <c r="B19" s="32" t="n"/>
      <c r="C19" s="32" t="n"/>
      <c r="D19" s="32" t="n"/>
      <c r="E19" s="32" t="n"/>
      <c r="F19" s="35" t="n"/>
      <c r="G19" s="32" t="n"/>
      <c r="H19" s="43">
        <f>IF(A19="","",IF(G19="Concluída","OK",IF(AND(F19&lt;&gt;"",F19&lt;TODAY()),"ATRASADA","ABERTA")))</f>
        <v/>
      </c>
      <c r="I19" s="32" t="n"/>
    </row>
    <row r="20" ht="30" customHeight="1">
      <c r="A20" s="32" t="n"/>
      <c r="B20" s="32" t="n"/>
      <c r="C20" s="32" t="n"/>
      <c r="D20" s="32" t="n"/>
      <c r="E20" s="32" t="n"/>
      <c r="F20" s="35" t="n"/>
      <c r="G20" s="32" t="n"/>
      <c r="H20" s="43">
        <f>IF(A20="","",IF(G20="Concluída","OK",IF(AND(F20&lt;&gt;"",F20&lt;TODAY()),"ATRASADA","ABERTA")))</f>
        <v/>
      </c>
      <c r="I20" s="32" t="n"/>
    </row>
    <row r="21" ht="30" customHeight="1">
      <c r="A21" s="32" t="n"/>
      <c r="B21" s="32" t="n"/>
      <c r="C21" s="32" t="n"/>
      <c r="D21" s="32" t="n"/>
      <c r="E21" s="32" t="n"/>
      <c r="F21" s="35" t="n"/>
      <c r="G21" s="32" t="n"/>
      <c r="H21" s="43">
        <f>IF(A21="","",IF(G21="Concluída","OK",IF(AND(F21&lt;&gt;"",F21&lt;TODAY()),"ATRASADA","ABERTA")))</f>
        <v/>
      </c>
      <c r="I21" s="32" t="n"/>
    </row>
    <row r="22" ht="30" customHeight="1">
      <c r="A22" s="32" t="n"/>
      <c r="B22" s="32" t="n"/>
      <c r="C22" s="32" t="n"/>
      <c r="D22" s="32" t="n"/>
      <c r="E22" s="32" t="n"/>
      <c r="F22" s="35" t="n"/>
      <c r="G22" s="32" t="n"/>
      <c r="H22" s="43">
        <f>IF(A22="","",IF(G22="Concluída","OK",IF(AND(F22&lt;&gt;"",F22&lt;TODAY()),"ATRASADA","ABERTA")))</f>
        <v/>
      </c>
      <c r="I22" s="32" t="n"/>
    </row>
    <row r="23" ht="30" customHeight="1">
      <c r="A23" s="32" t="n"/>
      <c r="B23" s="32" t="n"/>
      <c r="C23" s="32" t="n"/>
      <c r="D23" s="32" t="n"/>
      <c r="E23" s="32" t="n"/>
      <c r="F23" s="35" t="n"/>
      <c r="G23" s="32" t="n"/>
      <c r="H23" s="43">
        <f>IF(A23="","",IF(G23="Concluída","OK",IF(AND(F23&lt;&gt;"",F23&lt;TODAY()),"ATRASADA","ABERTA")))</f>
        <v/>
      </c>
      <c r="I23" s="32" t="n"/>
    </row>
    <row r="24" ht="30" customHeight="1">
      <c r="A24" s="32" t="n"/>
      <c r="B24" s="32" t="n"/>
      <c r="C24" s="32" t="n"/>
      <c r="D24" s="32" t="n"/>
      <c r="E24" s="32" t="n"/>
      <c r="F24" s="35" t="n"/>
      <c r="G24" s="32" t="n"/>
      <c r="H24" s="43">
        <f>IF(A24="","",IF(G24="Concluída","OK",IF(AND(F24&lt;&gt;"",F24&lt;TODAY()),"ATRASADA","ABERTA")))</f>
        <v/>
      </c>
      <c r="I24" s="32" t="n"/>
    </row>
    <row r="25" ht="30" customHeight="1">
      <c r="A25" s="32" t="n"/>
      <c r="B25" s="32" t="n"/>
      <c r="C25" s="32" t="n"/>
      <c r="D25" s="32" t="n"/>
      <c r="E25" s="32" t="n"/>
      <c r="F25" s="35" t="n"/>
      <c r="G25" s="32" t="n"/>
      <c r="H25" s="43">
        <f>IF(A25="","",IF(G25="Concluída","OK",IF(AND(F25&lt;&gt;"",F25&lt;TODAY()),"ATRASADA","ABERTA")))</f>
        <v/>
      </c>
      <c r="I25" s="32" t="n"/>
    </row>
    <row r="26" ht="30" customHeight="1">
      <c r="A26" s="32" t="n"/>
      <c r="B26" s="32" t="n"/>
      <c r="C26" s="32" t="n"/>
      <c r="D26" s="32" t="n"/>
      <c r="E26" s="32" t="n"/>
      <c r="F26" s="35" t="n"/>
      <c r="G26" s="32" t="n"/>
      <c r="H26" s="43">
        <f>IF(A26="","",IF(G26="Concluída","OK",IF(AND(F26&lt;&gt;"",F26&lt;TODAY()),"ATRASADA","ABERTA")))</f>
        <v/>
      </c>
      <c r="I26" s="32" t="n"/>
    </row>
    <row r="27" ht="30" customHeight="1">
      <c r="A27" s="32" t="n"/>
      <c r="B27" s="32" t="n"/>
      <c r="C27" s="32" t="n"/>
      <c r="D27" s="32" t="n"/>
      <c r="E27" s="32" t="n"/>
      <c r="F27" s="35" t="n"/>
      <c r="G27" s="32" t="n"/>
      <c r="H27" s="43">
        <f>IF(A27="","",IF(G27="Concluída","OK",IF(AND(F27&lt;&gt;"",F27&lt;TODAY()),"ATRASADA","ABERTA")))</f>
        <v/>
      </c>
      <c r="I27" s="32" t="n"/>
    </row>
    <row r="28" ht="30" customHeight="1">
      <c r="A28" s="32" t="n"/>
      <c r="B28" s="32" t="n"/>
      <c r="C28" s="32" t="n"/>
      <c r="D28" s="32" t="n"/>
      <c r="E28" s="32" t="n"/>
      <c r="F28" s="35" t="n"/>
      <c r="G28" s="32" t="n"/>
      <c r="H28" s="43">
        <f>IF(A28="","",IF(G28="Concluída","OK",IF(AND(F28&lt;&gt;"",F28&lt;TODAY()),"ATRASADA","ABERTA")))</f>
        <v/>
      </c>
      <c r="I28" s="32" t="n"/>
    </row>
    <row r="29" ht="30" customHeight="1">
      <c r="A29" s="32" t="n"/>
      <c r="B29" s="32" t="n"/>
      <c r="C29" s="32" t="n"/>
      <c r="D29" s="32" t="n"/>
      <c r="E29" s="32" t="n"/>
      <c r="F29" s="35" t="n"/>
      <c r="G29" s="32" t="n"/>
      <c r="H29" s="43">
        <f>IF(A29="","",IF(G29="Concluída","OK",IF(AND(F29&lt;&gt;"",F29&lt;TODAY()),"ATRASADA","ABERTA")))</f>
        <v/>
      </c>
      <c r="I29" s="32" t="n"/>
    </row>
    <row r="30" ht="30" customHeight="1">
      <c r="A30" s="32" t="n"/>
      <c r="B30" s="32" t="n"/>
      <c r="C30" s="32" t="n"/>
      <c r="D30" s="32" t="n"/>
      <c r="E30" s="32" t="n"/>
      <c r="F30" s="35" t="n"/>
      <c r="G30" s="32" t="n"/>
      <c r="H30" s="43">
        <f>IF(A30="","",IF(G30="Concluída","OK",IF(AND(F30&lt;&gt;"",F30&lt;TODAY()),"ATRASADA","ABERTA")))</f>
        <v/>
      </c>
      <c r="I30" s="32" t="n"/>
    </row>
    <row r="31" ht="30" customHeight="1">
      <c r="A31" s="32" t="n"/>
      <c r="B31" s="32" t="n"/>
      <c r="C31" s="32" t="n"/>
      <c r="D31" s="32" t="n"/>
      <c r="E31" s="32" t="n"/>
      <c r="F31" s="35" t="n"/>
      <c r="G31" s="32" t="n"/>
      <c r="H31" s="43">
        <f>IF(A31="","",IF(G31="Concluída","OK",IF(AND(F31&lt;&gt;"",F31&lt;TODAY()),"ATRASADA","ABERTA")))</f>
        <v/>
      </c>
      <c r="I31" s="32" t="n"/>
    </row>
    <row r="32" ht="30" customHeight="1">
      <c r="A32" s="32" t="n"/>
      <c r="B32" s="32" t="n"/>
      <c r="C32" s="32" t="n"/>
      <c r="D32" s="32" t="n"/>
      <c r="E32" s="32" t="n"/>
      <c r="F32" s="35" t="n"/>
      <c r="G32" s="32" t="n"/>
      <c r="H32" s="43">
        <f>IF(A32="","",IF(G32="Concluída","OK",IF(AND(F32&lt;&gt;"",F32&lt;TODAY()),"ATRASADA","ABERTA")))</f>
        <v/>
      </c>
      <c r="I32" s="32" t="n"/>
    </row>
    <row r="33" ht="30" customHeight="1">
      <c r="A33" s="32" t="n"/>
      <c r="B33" s="32" t="n"/>
      <c r="C33" s="32" t="n"/>
      <c r="D33" s="32" t="n"/>
      <c r="E33" s="32" t="n"/>
      <c r="F33" s="35" t="n"/>
      <c r="G33" s="32" t="n"/>
      <c r="H33" s="43">
        <f>IF(A33="","",IF(G33="Concluída","OK",IF(AND(F33&lt;&gt;"",F33&lt;TODAY()),"ATRASADA","ABERTA")))</f>
        <v/>
      </c>
      <c r="I33" s="32" t="n"/>
    </row>
    <row r="34" ht="30" customHeight="1">
      <c r="A34" s="32" t="n"/>
      <c r="B34" s="32" t="n"/>
      <c r="C34" s="32" t="n"/>
      <c r="D34" s="32" t="n"/>
      <c r="E34" s="32" t="n"/>
      <c r="F34" s="35" t="n"/>
      <c r="G34" s="32" t="n"/>
      <c r="H34" s="43">
        <f>IF(A34="","",IF(G34="Concluída","OK",IF(AND(F34&lt;&gt;"",F34&lt;TODAY()),"ATRASADA","ABERTA")))</f>
        <v/>
      </c>
      <c r="I34" s="32" t="n"/>
    </row>
    <row r="35" ht="30" customHeight="1">
      <c r="A35" s="32" t="n"/>
      <c r="B35" s="32" t="n"/>
      <c r="C35" s="32" t="n"/>
      <c r="D35" s="32" t="n"/>
      <c r="E35" s="32" t="n"/>
      <c r="F35" s="35" t="n"/>
      <c r="G35" s="32" t="n"/>
      <c r="H35" s="43">
        <f>IF(A35="","",IF(G35="Concluída","OK",IF(AND(F35&lt;&gt;"",F35&lt;TODAY()),"ATRASADA","ABERTA")))</f>
        <v/>
      </c>
      <c r="I35" s="32" t="n"/>
    </row>
    <row r="36" ht="30" customHeight="1">
      <c r="A36" s="32" t="n"/>
      <c r="B36" s="32" t="n"/>
      <c r="C36" s="32" t="n"/>
      <c r="D36" s="32" t="n"/>
      <c r="E36" s="32" t="n"/>
      <c r="F36" s="35" t="n"/>
      <c r="G36" s="32" t="n"/>
      <c r="H36" s="43">
        <f>IF(A36="","",IF(G36="Concluída","OK",IF(AND(F36&lt;&gt;"",F36&lt;TODAY()),"ATRASADA","ABERTA")))</f>
        <v/>
      </c>
      <c r="I36" s="32" t="n"/>
    </row>
    <row r="37" ht="30" customHeight="1">
      <c r="A37" s="32" t="n"/>
      <c r="B37" s="32" t="n"/>
      <c r="C37" s="32" t="n"/>
      <c r="D37" s="32" t="n"/>
      <c r="E37" s="32" t="n"/>
      <c r="F37" s="35" t="n"/>
      <c r="G37" s="32" t="n"/>
      <c r="H37" s="43">
        <f>IF(A37="","",IF(G37="Concluída","OK",IF(AND(F37&lt;&gt;"",F37&lt;TODAY()),"ATRASADA","ABERTA")))</f>
        <v/>
      </c>
      <c r="I37" s="32" t="n"/>
    </row>
    <row r="38" ht="30" customHeight="1">
      <c r="A38" s="32" t="n"/>
      <c r="B38" s="32" t="n"/>
      <c r="C38" s="32" t="n"/>
      <c r="D38" s="32" t="n"/>
      <c r="E38" s="32" t="n"/>
      <c r="F38" s="35" t="n"/>
      <c r="G38" s="32" t="n"/>
      <c r="H38" s="43">
        <f>IF(A38="","",IF(G38="Concluída","OK",IF(AND(F38&lt;&gt;"",F38&lt;TODAY()),"ATRASADA","ABERTA")))</f>
        <v/>
      </c>
      <c r="I38" s="32" t="n"/>
    </row>
  </sheetData>
  <autoFilter ref="A8:I38"/>
  <mergeCells count="5">
    <mergeCell ref="I1:L1"/>
    <mergeCell ref="A5:I5"/>
    <mergeCell ref="A6:I6"/>
    <mergeCell ref="A1:H1"/>
    <mergeCell ref="A3:L3"/>
  </mergeCells>
  <conditionalFormatting sqref="H9:H38">
    <cfRule type="expression" priority="1" dxfId="4">
      <formula>$H9="ATRASADA"</formula>
    </cfRule>
    <cfRule type="expression" priority="2" dxfId="2">
      <formula>$H9="OK"</formula>
    </cfRule>
  </conditionalFormatting>
  <dataValidations count="4">
    <dataValidation sqref="B9:B38" showDropDown="0" showInputMessage="1" showErrorMessage="1" allowBlank="1" errorTitle="Valor inválido" error="Escolha uma opção da lista." promptTitle="Lista de opções" prompt="Selecione a categoria da nota." type="list">
      <formula1>=lista_categorias_nota</formula1>
    </dataValidation>
    <dataValidation sqref="E9:E38" showDropDown="0" showInputMessage="1" showErrorMessage="1" allowBlank="1" errorTitle="Valor inválido" error="Escolha uma opção da lista." promptTitle="Lista de opções" prompt="Selecione a prioridade." type="list">
      <formula1>=lista_prioridades</formula1>
    </dataValidation>
    <dataValidation sqref="G9:G38" showDropDown="0" showInputMessage="1" showErrorMessage="1" allowBlank="1" errorTitle="Valor inválido" error="Escolha uma opção da lista." promptTitle="Lista de opções" prompt="Selecione o status da ação." type="list">
      <formula1>=lista_status_nota</formula1>
    </dataValidation>
    <dataValidation sqref="F9:F38" showDropDown="0" showInputMessage="0" showErrorMessage="1" allowBlank="1" errorTitle="Data inválida" error="Informe uma data entre 2025 e 2031." type="date" operator="between">
      <formula1>DATE(2025,1,1)</formula1>
      <formula2>DATE(2031,12,31)</formula2>
    </dataValidation>
  </dataValidations>
  <hyperlinks>
    <hyperlink ref="A2" ns1:id="rId1"/>
    <hyperlink ref="B2" ns1:id="rId2"/>
    <hyperlink ref="C2" ns1:id="rId3"/>
    <hyperlink ref="D2" ns1:id="rId4"/>
    <hyperlink ref="E2" ns1:id="rId5"/>
    <hyperlink ref="F2" ns1:id="rId6"/>
    <hyperlink ref="G2" ns1:id="rId7"/>
    <hyperlink ref="H2" ns1:id="rId8"/>
    <hyperlink ref="I2" ns1:id="rId9"/>
  </hyperlinks>
  <pageMargins left="0.25" right="0.25" top="0.4" bottom="0.4" header="0.5" footer="0.5"/>
  <pageSetup fitToHeight="0" fitToWidth="1"/>
  <headerFooter>
    <oddHeader/>
    <oddFooter>&amp;C&amp;8 &amp;K64748BIR Panorama • 0Barone (@gabrielnasciimentoleandro-arch)</oddFooter>
    <evenHeader/>
    <evenFooter/>
    <firstHeader/>
    <firstFooter/>
  </headerFooter>
  <tableParts count="1">
    <tablePart ns1:id="rId10"/>
  </tableParts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L43"/>
  <sheetViews>
    <sheetView showGridLines="0" zoomScale="9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30" customWidth="1" min="2" max="2"/>
    <col width="82" customWidth="1" min="3" max="3"/>
    <col width="3" customWidth="1" min="4" max="4"/>
    <col width="3" customWidth="1" min="5" max="5"/>
    <col width="3" customWidth="1" min="6" max="6"/>
    <col width="3" customWidth="1" min="7" max="7"/>
    <col width="3" customWidth="1" min="8" max="8"/>
    <col width="3" customWidth="1" min="9" max="9"/>
    <col width="3" customWidth="1" min="10" max="10"/>
    <col width="3" customWidth="1" min="11" max="11"/>
    <col width="3" customWidth="1" min="12" max="12"/>
  </cols>
  <sheetData>
    <row r="1" ht="24" customHeight="1">
      <c r="A1" s="1" t="inlineStr">
        <is>
          <t>GUIA DE USO</t>
        </is>
      </c>
      <c r="I1" s="2" t="inlineStr">
        <is>
          <t>PROJETO AUTORAL • DADOS FICTÍCIOS</t>
        </is>
      </c>
    </row>
    <row r="2" ht="24" customHeight="1">
      <c r="A2" s="4" t="inlineStr">
        <is>
          <t>INÍCIO</t>
        </is>
      </c>
      <c r="B2" s="4" t="inlineStr">
        <is>
          <t>TITULAR</t>
        </is>
      </c>
      <c r="C2" s="4" t="inlineStr">
        <is>
          <t>DEPENDENTES</t>
        </is>
      </c>
      <c r="D2" s="4" t="inlineStr">
        <is>
          <t>RENDIMENTOS</t>
        </is>
      </c>
      <c r="E2" s="4" t="inlineStr">
        <is>
          <t>BENS</t>
        </is>
      </c>
      <c r="F2" s="4" t="inlineStr">
        <is>
          <t>PAGAMENTOS</t>
        </is>
      </c>
      <c r="G2" s="4" t="inlineStr">
        <is>
          <t>INFORMES</t>
        </is>
      </c>
      <c r="H2" s="4" t="inlineStr">
        <is>
          <t>NOTAS</t>
        </is>
      </c>
      <c r="I2" s="3" t="inlineStr">
        <is>
          <t>GUIA</t>
        </is>
      </c>
      <c r="J2" s="5" t="n"/>
      <c r="K2" s="5" t="n"/>
      <c r="L2" s="5" t="n"/>
    </row>
    <row r="3" ht="24" customHeight="1">
      <c r="A3" s="6" t="inlineStr">
        <is>
          <t>Roteiro de preenchimento, privacidade e validação do IR Panorama.</t>
        </is>
      </c>
    </row>
    <row r="5" ht="28" customHeight="1">
      <c r="B5" s="44" t="inlineStr">
        <is>
          <t>1. Antes de começar</t>
        </is>
      </c>
      <c r="C5" s="45" t="inlineStr">
        <is>
          <t>Baixe o modelo, salve uma cópia privada e mantenha o arquivo publicado apenas com dados fictícios. Defina o ano-calendário no painel.</t>
        </is>
      </c>
    </row>
    <row r="6" ht="28" customHeight="1"/>
    <row r="8" ht="28" customHeight="1">
      <c r="B8" s="44" t="inlineStr">
        <is>
          <t>2. Titular e dependentes</t>
        </is>
      </c>
      <c r="C8" s="45" t="inlineStr">
        <is>
          <t>Substitua os exemplos na cópia privada. Revise CPF, datas, relação de dependência e dados cadastrais com os documentos oficiais.</t>
        </is>
      </c>
    </row>
    <row r="9" ht="28" customHeight="1"/>
    <row r="11" ht="28" customHeight="1">
      <c r="B11" s="44" t="inlineStr">
        <is>
          <t>3. Rendimentos</t>
        </is>
      </c>
      <c r="C11" s="45" t="inlineStr">
        <is>
          <t>Inclua uma linha por fonte pagadora e transcreva valores apenas dos informes oficiais. A planilha soma valores; ela não calcula imposto devido.</t>
        </is>
      </c>
    </row>
    <row r="12" ht="28" customHeight="1"/>
    <row r="14" ht="28" customHeight="1">
      <c r="B14" s="44" t="inlineStr">
        <is>
          <t>4. Bens e direitos</t>
        </is>
      </c>
      <c r="C14" s="45" t="inlineStr">
        <is>
          <t>Use o grupo e o código apenas como organização preliminar. Compare os valores com a declaração anterior e confirme as regras oficiais antes de transmitir.</t>
        </is>
      </c>
    </row>
    <row r="15" ht="28" customHeight="1"/>
    <row r="17" ht="28" customHeight="1">
      <c r="B17" s="44" t="inlineStr">
        <is>
          <t>5. Pagamentos</t>
        </is>
      </c>
      <c r="C17" s="45" t="inlineStr">
        <is>
          <t>Informe valor pago e reembolso. Valor líquido = valor pago − reembolso, limitado a zero. Guarde recibos e identifique titular ou dependente.</t>
        </is>
      </c>
    </row>
    <row r="18" ht="28" customHeight="1"/>
    <row r="20" ht="28" customHeight="1">
      <c r="B20" s="44" t="inlineStr">
        <is>
          <t>6. Informes</t>
        </is>
      </c>
      <c r="C20" s="45" t="inlineStr">
        <is>
          <t>Atualize o status para Pendente, Recebido, Conferido ou Não se aplica. O painel calcula o percentual concluído e destaca pendências.</t>
        </is>
      </c>
    </row>
    <row r="21" ht="28" customHeight="1"/>
    <row r="23" ht="28" customHeight="1">
      <c r="B23" s="44" t="inlineStr">
        <is>
          <t>7. Notas</t>
        </is>
      </c>
      <c r="C23" s="45" t="inlineStr">
        <is>
          <t>Crie ações com prioridade e prazo. O alerta mostra ATRASADA quando a data passou e a ação ainda não foi concluída.</t>
        </is>
      </c>
    </row>
    <row r="24" ht="28" customHeight="1"/>
    <row r="26" ht="28" customHeight="1">
      <c r="B26" s="44" t="inlineStr">
        <is>
          <t>8. Links rápidos</t>
        </is>
      </c>
      <c r="C26" s="45" t="inlineStr">
        <is>
          <t>Os botões do painel abrem apenas páginas oficiais. Este projeto não usa API, não envia dados e não possui macro.</t>
        </is>
      </c>
    </row>
    <row r="27" ht="28" customHeight="1"/>
    <row r="29" ht="28" customHeight="1">
      <c r="B29" s="44" t="inlineStr">
        <is>
          <t>9. Conferência final</t>
        </is>
      </c>
      <c r="C29" s="45" t="inlineStr">
        <is>
          <t>Compare tudo com os documentos, a declaração anterior e o sistema oficial da Receita Federal. Procure orientação profissional em situações específicas.</t>
        </is>
      </c>
    </row>
    <row r="30" ht="28" customHeight="1"/>
    <row r="32" ht="28" customHeight="1">
      <c r="B32" s="44" t="inlineStr">
        <is>
          <t>10. Segurança</t>
        </is>
      </c>
      <c r="C32" s="45" t="inlineStr">
        <is>
          <t>Não armazene a cópia real em repositório público, pasta compartilhada ou serviço sem proteção. Use senha do dispositivo, backup criptografado e descarte seguro de cópias.</t>
        </is>
      </c>
    </row>
    <row r="33" ht="28" customHeight="1"/>
    <row r="35">
      <c r="B35" s="37" t="inlineStr">
        <is>
          <t>IMPORTANTE: o IR Panorama é um organizador educacional e não substitui o programa oficial, a legislação vigente ou orientação de contador/advogado. Nenhum dado real foi incluído neste arquivo.</t>
        </is>
      </c>
    </row>
    <row r="36"/>
    <row r="37"/>
    <row r="39">
      <c r="B39" s="46" t="inlineStr">
        <is>
          <t>Autoria: 0Barone (@gabrielnasciimentoleandro-arch)</t>
        </is>
      </c>
    </row>
    <row r="40"/>
    <row r="42">
      <c r="B42" s="47" t="inlineStr">
        <is>
          <t>VOLTAR AO PAINEL</t>
        </is>
      </c>
    </row>
    <row r="43"/>
  </sheetData>
  <mergeCells count="26">
    <mergeCell ref="B35:C37"/>
    <mergeCell ref="I1:L1"/>
    <mergeCell ref="C20:C21"/>
    <mergeCell ref="C29:C30"/>
    <mergeCell ref="B17:B18"/>
    <mergeCell ref="B8:B9"/>
    <mergeCell ref="B11:B12"/>
    <mergeCell ref="A1:H1"/>
    <mergeCell ref="A3:L3"/>
    <mergeCell ref="C26:C27"/>
    <mergeCell ref="B14:B15"/>
    <mergeCell ref="B29:B30"/>
    <mergeCell ref="B23:B24"/>
    <mergeCell ref="C11:C12"/>
    <mergeCell ref="C23:C24"/>
    <mergeCell ref="C8:C9"/>
    <mergeCell ref="C17:C18"/>
    <mergeCell ref="C32:C33"/>
    <mergeCell ref="B20:B21"/>
    <mergeCell ref="B5:B6"/>
    <mergeCell ref="B32:B33"/>
    <mergeCell ref="B42:C43"/>
    <mergeCell ref="B26:B27"/>
    <mergeCell ref="B39:C40"/>
    <mergeCell ref="C14:C15"/>
    <mergeCell ref="C5:C6"/>
  </mergeCells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C2" r:id="rId3"/>
    <hyperlink xmlns:r="http://schemas.openxmlformats.org/officeDocument/2006/relationships" ref="D2" r:id="rId4"/>
    <hyperlink xmlns:r="http://schemas.openxmlformats.org/officeDocument/2006/relationships" ref="E2" r:id="rId5"/>
    <hyperlink xmlns:r="http://schemas.openxmlformats.org/officeDocument/2006/relationships" ref="F2" r:id="rId6"/>
    <hyperlink xmlns:r="http://schemas.openxmlformats.org/officeDocument/2006/relationships" ref="G2" r:id="rId7"/>
    <hyperlink xmlns:r="http://schemas.openxmlformats.org/officeDocument/2006/relationships" ref="H2" r:id="rId8"/>
    <hyperlink xmlns:r="http://schemas.openxmlformats.org/officeDocument/2006/relationships" ref="I2" r:id="rId9"/>
    <hyperlink xmlns:r="http://schemas.openxmlformats.org/officeDocument/2006/relationships" ref="B42" r:id="rId10"/>
  </hyperlinks>
  <pageMargins left="0.25" right="0.25" top="0.4" bottom="0.4" header="0.5" footer="0.5"/>
  <pageSetup fitToHeight="0" fitToWidth="1"/>
  <headerFooter>
    <oddHeader/>
    <oddFooter>&amp;C&amp;8 &amp;K64748BIR Panorama • 0Barone (@gabrielnasciimentoleandro-arch)</oddFooter>
    <evenHeader/>
    <evenFooter/>
    <firstHeader/>
    <firstFooter/>
  </headerFooter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30"/>
  <sheetViews>
    <sheetView showGridLines="0" workbookViewId="0">
      <selection activeCell="A1" sqref="A1"/>
    </sheetView>
  </sheetViews>
  <sheetFormatPr baseColWidth="8" defaultRowHeight="15"/>
  <cols>
    <col width="2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  <col width="23" customWidth="1" min="9" max="9"/>
    <col width="23" customWidth="1" min="10" max="10"/>
    <col width="23" customWidth="1" min="11" max="11"/>
    <col width="23" customWidth="1" min="12" max="12"/>
    <col width="23" customWidth="1" min="13" max="13"/>
    <col width="23" customWidth="1" min="14" max="14"/>
    <col width="23" customWidth="1" min="15" max="15"/>
    <col width="23" customWidth="1" min="16" max="16"/>
  </cols>
  <sheetData>
    <row r="1">
      <c r="A1" s="48" t="inlineStr">
        <is>
          <t>Listas internas para validação de dados — IR Panorama</t>
        </is>
      </c>
    </row>
    <row r="3">
      <c r="A3" s="49" t="inlineStr">
        <is>
          <t>lista_status_documento</t>
        </is>
      </c>
      <c r="B3" s="49" t="inlineStr">
        <is>
          <t>lista_categorias_rendimento</t>
        </is>
      </c>
      <c r="C3" s="49" t="inlineStr">
        <is>
          <t>lista_grupos_bens</t>
        </is>
      </c>
      <c r="D3" s="49" t="inlineStr">
        <is>
          <t>lista_categorias_pagamento</t>
        </is>
      </c>
      <c r="E3" s="49" t="inlineStr">
        <is>
          <t>lista_prioridades</t>
        </is>
      </c>
      <c r="F3" s="49" t="inlineStr">
        <is>
          <t>lista_status_nota</t>
        </is>
      </c>
      <c r="G3" s="49" t="inlineStr">
        <is>
          <t>lista_estados_civis</t>
        </is>
      </c>
      <c r="H3" s="49" t="inlineStr">
        <is>
          <t>lista_ufs</t>
        </is>
      </c>
      <c r="I3" s="49" t="inlineStr">
        <is>
          <t>lista_relacoes_dependente</t>
        </is>
      </c>
      <c r="J3" s="49" t="inlineStr">
        <is>
          <t>lista_sim_nao</t>
        </is>
      </c>
      <c r="K3" s="49" t="inlineStr">
        <is>
          <t>lista_titular_dependente</t>
        </is>
      </c>
      <c r="L3" s="49" t="inlineStr">
        <is>
          <t>lista_categorias_informe</t>
        </is>
      </c>
      <c r="M3" s="49" t="inlineStr">
        <is>
          <t>lista_tipos_declaracao</t>
        </is>
      </c>
      <c r="N3" s="49" t="inlineStr">
        <is>
          <t>lista_status_cadastro</t>
        </is>
      </c>
      <c r="O3" s="49" t="inlineStr">
        <is>
          <t>lista_categorias_nota</t>
        </is>
      </c>
      <c r="P3" s="49" t="inlineStr">
        <is>
          <t>lista_paises</t>
        </is>
      </c>
    </row>
    <row r="4">
      <c r="A4" s="50" t="inlineStr">
        <is>
          <t>Pendente</t>
        </is>
      </c>
      <c r="B4" s="50" t="inlineStr">
        <is>
          <t>Trabalho assalariado</t>
        </is>
      </c>
      <c r="C4" s="50" t="inlineStr">
        <is>
          <t>Imóveis</t>
        </is>
      </c>
      <c r="D4" s="50" t="inlineStr">
        <is>
          <t>Plano de saúde</t>
        </is>
      </c>
      <c r="E4" s="50" t="inlineStr">
        <is>
          <t>Baixa</t>
        </is>
      </c>
      <c r="F4" s="50" t="inlineStr">
        <is>
          <t>Aberta</t>
        </is>
      </c>
      <c r="G4" s="50" t="inlineStr">
        <is>
          <t>Solteiro(a)</t>
        </is>
      </c>
      <c r="H4" s="50" t="inlineStr">
        <is>
          <t>AC</t>
        </is>
      </c>
      <c r="I4" s="50" t="inlineStr">
        <is>
          <t>Cônjuge/Companheiro(a)</t>
        </is>
      </c>
      <c r="J4" s="50" t="inlineStr">
        <is>
          <t>Sim</t>
        </is>
      </c>
      <c r="K4" s="50" t="inlineStr">
        <is>
          <t>Titular</t>
        </is>
      </c>
      <c r="L4" s="50" t="inlineStr">
        <is>
          <t>Rendimentos</t>
        </is>
      </c>
      <c r="M4" s="50" t="inlineStr">
        <is>
          <t>Original</t>
        </is>
      </c>
      <c r="N4" s="50" t="inlineStr">
        <is>
          <t>Pendente</t>
        </is>
      </c>
      <c r="O4" s="50" t="inlineStr">
        <is>
          <t>Titular</t>
        </is>
      </c>
      <c r="P4" s="50" t="inlineStr">
        <is>
          <t>Brasil</t>
        </is>
      </c>
    </row>
    <row r="5">
      <c r="A5" s="51" t="inlineStr">
        <is>
          <t>Recebido</t>
        </is>
      </c>
      <c r="B5" s="51" t="inlineStr">
        <is>
          <t>Trabalho autônomo</t>
        </is>
      </c>
      <c r="C5" s="51" t="inlineStr">
        <is>
          <t>Veículos</t>
        </is>
      </c>
      <c r="D5" s="51" t="inlineStr">
        <is>
          <t>Médico/Hospital</t>
        </is>
      </c>
      <c r="E5" s="51" t="inlineStr">
        <is>
          <t>Média</t>
        </is>
      </c>
      <c r="F5" s="51" t="inlineStr">
        <is>
          <t>Em andamento</t>
        </is>
      </c>
      <c r="G5" s="51" t="inlineStr">
        <is>
          <t>Casado(a)</t>
        </is>
      </c>
      <c r="H5" s="51" t="inlineStr">
        <is>
          <t>AL</t>
        </is>
      </c>
      <c r="I5" s="51" t="inlineStr">
        <is>
          <t>Filho(a)</t>
        </is>
      </c>
      <c r="J5" s="51" t="inlineStr">
        <is>
          <t>Não</t>
        </is>
      </c>
      <c r="K5" s="51" t="inlineStr">
        <is>
          <t>Dependente</t>
        </is>
      </c>
      <c r="L5" s="51" t="inlineStr">
        <is>
          <t>Bancos</t>
        </is>
      </c>
      <c r="M5" s="51" t="inlineStr">
        <is>
          <t>Retificadora</t>
        </is>
      </c>
      <c r="N5" s="51" t="inlineStr">
        <is>
          <t>Revisar</t>
        </is>
      </c>
      <c r="O5" s="51" t="inlineStr">
        <is>
          <t>Dependente</t>
        </is>
      </c>
      <c r="P5" s="51" t="inlineStr">
        <is>
          <t>Estados Unidos</t>
        </is>
      </c>
    </row>
    <row r="6">
      <c r="A6" s="50" t="inlineStr">
        <is>
          <t>Conferido</t>
        </is>
      </c>
      <c r="B6" s="50" t="inlineStr">
        <is>
          <t>Aposentadoria/Pensão</t>
        </is>
      </c>
      <c r="C6" s="50" t="inlineStr">
        <is>
          <t>Contas e depósitos</t>
        </is>
      </c>
      <c r="D6" s="50" t="inlineStr">
        <is>
          <t>Dentista</t>
        </is>
      </c>
      <c r="E6" s="50" t="inlineStr">
        <is>
          <t>Alta</t>
        </is>
      </c>
      <c r="F6" s="50" t="inlineStr">
        <is>
          <t>Concluída</t>
        </is>
      </c>
      <c r="G6" s="50" t="inlineStr">
        <is>
          <t>União estável</t>
        </is>
      </c>
      <c r="H6" s="50" t="inlineStr">
        <is>
          <t>AP</t>
        </is>
      </c>
      <c r="I6" s="50" t="inlineStr">
        <is>
          <t>Enteado(a)</t>
        </is>
      </c>
      <c r="L6" s="50" t="inlineStr">
        <is>
          <t>Investimentos</t>
        </is>
      </c>
      <c r="N6" s="50" t="inlineStr">
        <is>
          <t>Completo</t>
        </is>
      </c>
      <c r="O6" s="50" t="inlineStr">
        <is>
          <t>Rendimento</t>
        </is>
      </c>
      <c r="P6" s="50" t="inlineStr">
        <is>
          <t>Portugal</t>
        </is>
      </c>
    </row>
    <row r="7">
      <c r="A7" s="51" t="inlineStr">
        <is>
          <t>Não se aplica</t>
        </is>
      </c>
      <c r="B7" s="51" t="inlineStr">
        <is>
          <t>Rendimentos isentos</t>
        </is>
      </c>
      <c r="C7" s="51" t="inlineStr">
        <is>
          <t>Aplicações e investimentos</t>
        </is>
      </c>
      <c r="D7" s="51" t="inlineStr">
        <is>
          <t>Educação</t>
        </is>
      </c>
      <c r="E7" s="51" t="inlineStr">
        <is>
          <t>Crítica</t>
        </is>
      </c>
      <c r="G7" s="51" t="inlineStr">
        <is>
          <t>Separado(a)</t>
        </is>
      </c>
      <c r="H7" s="51" t="inlineStr">
        <is>
          <t>AM</t>
        </is>
      </c>
      <c r="I7" s="51" t="inlineStr">
        <is>
          <t>Pai/Mãe</t>
        </is>
      </c>
      <c r="L7" s="51" t="inlineStr">
        <is>
          <t>Saúde</t>
        </is>
      </c>
      <c r="O7" s="51" t="inlineStr">
        <is>
          <t>Bem</t>
        </is>
      </c>
      <c r="P7" s="51" t="inlineStr">
        <is>
          <t>Outro</t>
        </is>
      </c>
    </row>
    <row r="8">
      <c r="B8" s="50" t="inlineStr">
        <is>
          <t>Tributação exclusiva</t>
        </is>
      </c>
      <c r="C8" s="50" t="inlineStr">
        <is>
          <t>Participações societárias</t>
        </is>
      </c>
      <c r="D8" s="50" t="inlineStr">
        <is>
          <t>Previdência</t>
        </is>
      </c>
      <c r="G8" s="50" t="inlineStr">
        <is>
          <t>Divorciado(a)</t>
        </is>
      </c>
      <c r="H8" s="50" t="inlineStr">
        <is>
          <t>BA</t>
        </is>
      </c>
      <c r="I8" s="50" t="inlineStr">
        <is>
          <t>Avô/Avó</t>
        </is>
      </c>
      <c r="L8" s="50" t="inlineStr">
        <is>
          <t>Educação</t>
        </is>
      </c>
      <c r="O8" s="50" t="inlineStr">
        <is>
          <t>Pagamento</t>
        </is>
      </c>
    </row>
    <row r="9">
      <c r="B9" s="51" t="inlineStr">
        <is>
          <t>Aluguéis</t>
        </is>
      </c>
      <c r="C9" s="51" t="inlineStr">
        <is>
          <t>Criptoativos</t>
        </is>
      </c>
      <c r="D9" s="51" t="inlineStr">
        <is>
          <t>Pensão alimentícia</t>
        </is>
      </c>
      <c r="G9" s="51" t="inlineStr">
        <is>
          <t>Viúvo(a)</t>
        </is>
      </c>
      <c r="H9" s="51" t="inlineStr">
        <is>
          <t>CE</t>
        </is>
      </c>
      <c r="I9" s="51" t="inlineStr">
        <is>
          <t>Irmão(ã)</t>
        </is>
      </c>
      <c r="L9" s="51" t="inlineStr">
        <is>
          <t>Previdência</t>
        </is>
      </c>
      <c r="O9" s="51" t="inlineStr">
        <is>
          <t>Informe</t>
        </is>
      </c>
    </row>
    <row r="10">
      <c r="B10" s="50" t="inlineStr">
        <is>
          <t>Exterior</t>
        </is>
      </c>
      <c r="C10" s="50" t="inlineStr">
        <is>
          <t>Créditos</t>
        </is>
      </c>
      <c r="D10" s="50" t="inlineStr">
        <is>
          <t>Profissional liberal</t>
        </is>
      </c>
      <c r="H10" s="50" t="inlineStr">
        <is>
          <t>DF</t>
        </is>
      </c>
      <c r="I10" s="50" t="inlineStr">
        <is>
          <t>Neto(a)</t>
        </is>
      </c>
      <c r="L10" s="50" t="inlineStr">
        <is>
          <t>Bens e direitos</t>
        </is>
      </c>
      <c r="O10" s="50" t="inlineStr">
        <is>
          <t>Conferência final</t>
        </is>
      </c>
    </row>
    <row r="11">
      <c r="B11" s="51" t="inlineStr">
        <is>
          <t>Outros</t>
        </is>
      </c>
      <c r="C11" s="51" t="inlineStr">
        <is>
          <t>Outros bens</t>
        </is>
      </c>
      <c r="D11" s="51" t="inlineStr">
        <is>
          <t>Outros</t>
        </is>
      </c>
      <c r="H11" s="51" t="inlineStr">
        <is>
          <t>ES</t>
        </is>
      </c>
      <c r="I11" s="51" t="inlineStr">
        <is>
          <t>Outro permitido</t>
        </is>
      </c>
      <c r="L11" s="51" t="inlineStr">
        <is>
          <t>Dívidas</t>
        </is>
      </c>
      <c r="O11" s="51" t="inlineStr">
        <is>
          <t>Outro</t>
        </is>
      </c>
    </row>
    <row r="12">
      <c r="H12" s="50" t="inlineStr">
        <is>
          <t>GO</t>
        </is>
      </c>
      <c r="L12" s="50" t="inlineStr">
        <is>
          <t>Outros</t>
        </is>
      </c>
    </row>
    <row r="13">
      <c r="H13" s="51" t="inlineStr">
        <is>
          <t>MA</t>
        </is>
      </c>
    </row>
    <row r="14">
      <c r="H14" s="50" t="inlineStr">
        <is>
          <t>MT</t>
        </is>
      </c>
    </row>
    <row r="15">
      <c r="H15" s="51" t="inlineStr">
        <is>
          <t>MS</t>
        </is>
      </c>
    </row>
    <row r="16">
      <c r="H16" s="50" t="inlineStr">
        <is>
          <t>MG</t>
        </is>
      </c>
    </row>
    <row r="17">
      <c r="H17" s="51" t="inlineStr">
        <is>
          <t>PA</t>
        </is>
      </c>
    </row>
    <row r="18">
      <c r="H18" s="50" t="inlineStr">
        <is>
          <t>PB</t>
        </is>
      </c>
    </row>
    <row r="19">
      <c r="H19" s="51" t="inlineStr">
        <is>
          <t>PR</t>
        </is>
      </c>
    </row>
    <row r="20">
      <c r="H20" s="50" t="inlineStr">
        <is>
          <t>PE</t>
        </is>
      </c>
    </row>
    <row r="21">
      <c r="H21" s="51" t="inlineStr">
        <is>
          <t>PI</t>
        </is>
      </c>
    </row>
    <row r="22">
      <c r="H22" s="50" t="inlineStr">
        <is>
          <t>RJ</t>
        </is>
      </c>
    </row>
    <row r="23">
      <c r="H23" s="51" t="inlineStr">
        <is>
          <t>RN</t>
        </is>
      </c>
    </row>
    <row r="24">
      <c r="H24" s="50" t="inlineStr">
        <is>
          <t>RS</t>
        </is>
      </c>
    </row>
    <row r="25">
      <c r="H25" s="51" t="inlineStr">
        <is>
          <t>RO</t>
        </is>
      </c>
    </row>
    <row r="26">
      <c r="H26" s="50" t="inlineStr">
        <is>
          <t>RR</t>
        </is>
      </c>
    </row>
    <row r="27">
      <c r="H27" s="51" t="inlineStr">
        <is>
          <t>SC</t>
        </is>
      </c>
    </row>
    <row r="28">
      <c r="H28" s="50" t="inlineStr">
        <is>
          <t>SP</t>
        </is>
      </c>
    </row>
    <row r="29">
      <c r="H29" s="51" t="inlineStr">
        <is>
          <t>SE</t>
        </is>
      </c>
    </row>
    <row r="30">
      <c r="H30" s="50" t="inlineStr">
        <is>
          <t>TO</t>
        </is>
      </c>
    </row>
  </sheetData>
  <mergeCells count="1">
    <mergeCell ref="A1:P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0Barone (@gabrielnasciimentoleandro-arch)</dc:creator>
  <dc:title xmlns:dc="http://purl.org/dc/elements/1.1/">IR Panorama — Organizador de Declaração de Imposto de Renda</dc:title>
  <dc:description xmlns:dc="http://purl.org/dc/elements/1.1/">Organizador local de titular, dependentes, rendimentos, bens, pagamentos, informes e pendências.</dc:description>
  <dc:subject xmlns:dc="http://purl.org/dc/elements/1.1/">Projeto autoral para o desafio DIO de organização de dados fiscais no Excel</dc:subject>
  <dcterms:created xmlns:dcterms="http://purl.org/dc/terms/" xmlns:xsi="http://www.w3.org/2001/XMLSchema-instance" xsi:type="dcterms:W3CDTF">2026-10-08T20:26:02Z</dcterms:created>
  <dcterms:modified xmlns:dcterms="http://purl.org/dc/terms/" xmlns:xsi="http://www.w3.org/2001/XMLSchema-instance" xsi:type="dcterms:W3CDTF">2026-10-08T20:26:02Z</dcterms:modified>
  <cp:lastModifiedBy>gabrielnasciimentoleandro-arch</cp:lastModifiedBy>
  <cp:keywords>Excel, Imposto de Renda, organização, validação de dados, DIO</cp:keywords>
</cp:coreProperties>
</file>